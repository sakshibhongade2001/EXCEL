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aksh\Documents\"/>
    </mc:Choice>
  </mc:AlternateContent>
  <xr:revisionPtr revIDLastSave="0" documentId="8_{3C22B8CE-A2BD-45B9-8ED4-88DE137E6E12}" xr6:coauthVersionLast="47" xr6:coauthVersionMax="47" xr10:uidLastSave="{00000000-0000-0000-0000-000000000000}"/>
  <bookViews>
    <workbookView xWindow="-120" yWindow="-120" windowWidth="20730" windowHeight="11040" activeTab="2" xr2:uid="{26D4546B-D2A1-4444-8EAF-A6228F96F0C1}"/>
  </bookViews>
  <sheets>
    <sheet name="Pivot" sheetId="13" r:id="rId1"/>
    <sheet name="Data" sheetId="2" r:id="rId2"/>
    <sheet name="Customer Centre Report" sheetId="11" r:id="rId3"/>
    <sheet name="Assets" sheetId="4" r:id="rId4"/>
  </sheets>
  <definedNames>
    <definedName name="_xlnm._FilterDatabase" localSheetId="1" hidden="1">Data!$B$3:$H$1003</definedName>
    <definedName name="_xlcn.WorksheetConnection_Copyof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27" r:id="rId9"/>
    <pivotCache cacheId="30" r:id="rId10"/>
    <pivotCache cacheId="33" r:id="rId11"/>
    <pivotCache cacheId="36" r:id="rId12"/>
    <pivotCache cacheId="3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Copy of 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N18" i="11" l="1"/>
  <c r="R16" i="11"/>
  <c r="Q16" i="11"/>
  <c r="P16" i="11"/>
  <c r="O16" i="11"/>
  <c r="N16" i="11"/>
  <c r="M17" i="11"/>
  <c r="M18" i="11"/>
  <c r="O18" i="11"/>
  <c r="P18" i="11"/>
  <c r="Q18" i="11"/>
  <c r="R18" i="11"/>
  <c r="S18" i="11"/>
  <c r="M19" i="11"/>
  <c r="N19" i="11"/>
  <c r="O19" i="11"/>
  <c r="P19" i="11"/>
  <c r="Q19" i="11"/>
  <c r="R19" i="11"/>
  <c r="S19" i="11"/>
  <c r="M20" i="11"/>
  <c r="N20" i="11"/>
  <c r="O20" i="11"/>
  <c r="P20" i="11"/>
  <c r="Q20" i="11"/>
  <c r="R20" i="11"/>
  <c r="S20" i="11"/>
  <c r="M21" i="11"/>
  <c r="N21" i="11"/>
  <c r="O21" i="11"/>
  <c r="P21" i="11"/>
  <c r="Q21" i="11"/>
  <c r="R21" i="11"/>
  <c r="S21" i="11"/>
  <c r="M22" i="11"/>
  <c r="M23" i="11"/>
  <c r="N23" i="11"/>
  <c r="O23" i="11"/>
  <c r="P23" i="11"/>
  <c r="Q23" i="11"/>
  <c r="R23" i="11"/>
  <c r="S23" i="11"/>
  <c r="M24" i="11"/>
  <c r="N24" i="11"/>
  <c r="O24" i="11"/>
  <c r="P24" i="11"/>
  <c r="Q24" i="11"/>
  <c r="R24" i="11"/>
  <c r="S24" i="11"/>
  <c r="M25" i="11"/>
  <c r="N25" i="11"/>
  <c r="O25" i="11"/>
  <c r="P25" i="11"/>
  <c r="Q25" i="11"/>
  <c r="R25" i="11"/>
  <c r="S25" i="11"/>
  <c r="M26" i="11"/>
  <c r="N26" i="11"/>
  <c r="O26" i="11"/>
  <c r="P26" i="11"/>
  <c r="Q26" i="11"/>
  <c r="R26" i="11"/>
  <c r="S26" i="11"/>
  <c r="M27" i="11"/>
  <c r="N27" i="11"/>
  <c r="O27" i="11"/>
  <c r="P27" i="11"/>
  <c r="Q27" i="11"/>
  <c r="R27" i="11"/>
  <c r="S27" i="11"/>
  <c r="M28" i="11"/>
  <c r="N28" i="11"/>
  <c r="O28" i="11"/>
  <c r="P28" i="11"/>
  <c r="Q28" i="11"/>
  <c r="R28" i="11"/>
  <c r="S28" i="11"/>
  <c r="M29" i="11"/>
  <c r="M30" i="11"/>
  <c r="N30" i="11"/>
  <c r="O30" i="11"/>
  <c r="P30" i="11"/>
  <c r="Q30" i="11"/>
  <c r="R30" i="11"/>
  <c r="S30" i="11"/>
  <c r="M31" i="11"/>
  <c r="N31" i="11"/>
  <c r="O31" i="11"/>
  <c r="P31" i="11"/>
  <c r="Q31" i="11"/>
  <c r="R31" i="11"/>
  <c r="S31" i="11"/>
  <c r="M32" i="11"/>
  <c r="N32" i="11"/>
  <c r="O32" i="11"/>
  <c r="P32" i="11"/>
  <c r="Q32" i="11"/>
  <c r="R32" i="11"/>
  <c r="S32" i="11"/>
  <c r="M33" i="11"/>
  <c r="N33" i="11"/>
  <c r="O33" i="11"/>
  <c r="P33" i="11"/>
  <c r="Q33" i="11"/>
  <c r="R33" i="11"/>
  <c r="S33" i="11"/>
  <c r="M34" i="11"/>
  <c r="N34" i="11"/>
  <c r="O34" i="11"/>
  <c r="P34" i="11"/>
  <c r="Q34" i="11"/>
  <c r="R34" i="11"/>
  <c r="S34" i="11"/>
  <c r="I29" i="13"/>
  <c r="I33" i="13" s="1"/>
  <c r="F32" i="13"/>
  <c r="G32" i="13"/>
  <c r="F33" i="13"/>
  <c r="G33" i="13"/>
  <c r="F34" i="13"/>
  <c r="G34" i="13"/>
  <c r="F35" i="13"/>
  <c r="G35" i="13"/>
  <c r="F36" i="13"/>
  <c r="G36" i="13"/>
  <c r="F37" i="13"/>
  <c r="G37" i="13"/>
  <c r="E33" i="13"/>
  <c r="E34" i="13"/>
  <c r="E35" i="13"/>
  <c r="E36" i="13"/>
  <c r="E37" i="13"/>
  <c r="E32" i="13"/>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6" i="13" l="1"/>
  <c r="I36" i="13"/>
  <c r="H35" i="13"/>
  <c r="I35" i="13"/>
  <c r="H34" i="13"/>
  <c r="I34" i="13"/>
  <c r="I32" i="13"/>
  <c r="H33" i="13"/>
  <c r="H3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38B8F2-28C8-4D37-B13B-800D3C7289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74C0864-AC67-418C-B33E-BEDFF4430E0E}" name="WorksheetConnection_Copy of sample-data-excel-portfolio-project.xlsx!calls" type="102" refreshedVersion="8" minRefreshableVersion="5">
    <extLst>
      <ext xmlns:x15="http://schemas.microsoft.com/office/spreadsheetml/2010/11/main" uri="{DE250136-89BD-433C-8126-D09CA5730AF9}">
        <x15:connection id="calls" autoDelete="1">
          <x15:rangePr sourceName="_xlcn.WorksheetConnection_Copyofsampledataexcelportfolioproject.xlsxcalls1"/>
        </x15:connection>
      </ext>
    </extLst>
  </connection>
  <connection id="3" xr16:uid="{01713B8D-33F9-4BE7-9309-CB92F7493A83}"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<sst xmlns="http://schemas.openxmlformats.org/spreadsheetml/2006/main" count="3166" uniqueCount="1080">
  <si>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</si>
  <si>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</si>
  <si>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</si>
  <si>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</si>
  <si>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</si>
  <si>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</si>
  <si>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</si>
  <si>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</si>
  <si>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</si>
  <si>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</si>
  <si>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</si>
  <si>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</si>
  <si>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</si>
  <si>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</si>
  <si>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</si>
  <si>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</si>
  <si>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</si>
  <si>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</si>
  <si>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</si>
  <si>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</si>
  <si>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</si>
  <si>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</si>
  <si>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</si>
  <si>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</si>
  <si>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</si>
  <si>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</si>
  <si>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</si>
  <si>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</si>
  <si>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</si>
  <si>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</si>
  <si>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</si>
  <si>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</si>
  <si>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</si>
  <si>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</si>
  <si>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</si>
  <si>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</si>
  <si>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</si>
  <si>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</si>
  <si>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</si>
  <si>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</si>
  <si>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</si>
  <si>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</si>
  <si>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</si>
  <si>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</si>
  <si>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</si>
  <si>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</si>
  <si>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</si>
  <si>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</si>
  <si>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</si>
  <si>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</si>
  <si>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</si>
  <si>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</si>
  <si>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</si>
  <si>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</si>
  <si>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</si>
  <si>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</si>
  <si>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</si>
  <si>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</si>
  <si>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</si>
  <si>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</si>
  <si>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</si>
  <si>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</si>
  <si>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</si>
  <si>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</si>
  <si>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</si>
  <si>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</si>
  <si>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</si>
  <si>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</si>
  <si>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</si>
  <si>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</si>
  <si>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</si>
  <si>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</si>
  <si>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</si>
  <si>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</si>
  <si>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</si>
  <si>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</si>
  <si>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</si>
  <si>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</si>
  <si>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</si>
  <si>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</si>
  <si>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</si>
  <si>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</si>
  <si>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</si>
  <si>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</si>
  <si>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</si>
  <si>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</si>
  <si>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</si>
  <si>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</si>
  <si>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</si>
  <si>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</si>
  <si>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</si>
  <si>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</si>
  <si>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</si>
  <si>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</si>
  <si>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</si>
  <si>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</si>
  <si>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</si>
  <si>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</si>
  <si>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</si>
  <si>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</si>
  <si>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</si>
  <si>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</si>
  <si>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</si>
  <si>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</si>
  <si>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</si>
  <si>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</si>
  <si>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</si>
  <si>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</si>
  <si>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</si>
  <si>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</si>
  <si>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</si>
  <si>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</si>
  <si>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</si>
  <si>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</si>
  <si>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</si>
  <si>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</si>
  <si>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</si>
  <si>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</si>
  <si>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</si>
  <si>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</si>
  <si>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</si>
  <si>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</si>
  <si>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</si>
  <si>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</si>
  <si>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</si>
  <si>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</si>
  <si>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</si>
  <si>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</si>
  <si>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</si>
  <si>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</si>
  <si>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</si>
  <si>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</si>
  <si>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</si>
  <si>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</si>
  <si>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</si>
  <si>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</si>
  <si>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</si>
  <si>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</si>
  <si>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</si>
  <si>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</si>
  <si>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</si>
  <si>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</si>
  <si>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</si>
  <si>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</si>
  <si>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</si>
  <si>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</si>
  <si>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</si>
  <si>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</si>
  <si>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</si>
  <si>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</si>
  <si>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</si>
  <si>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</si>
  <si>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</si>
  <si>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</si>
  <si>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</si>
  <si>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</si>
  <si>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</si>
  <si>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</si>
  <si>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</si>
  <si>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</si>
  <si>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</si>
  <si>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</si>
  <si>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</si>
  <si>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</si>
  <si>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</si>
  <si>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</si>
  <si>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</si>
  <si>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</si>
  <si>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</si>
  <si>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</si>
  <si>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</si>
  <si>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</si>
  <si>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</si>
  <si>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</si>
  <si>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</si>
  <si>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</si>
  <si>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</si>
  <si>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</si>
  <si>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</si>
  <si>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</si>
  <si>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</si>
  <si>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</si>
  <si>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</si>
  <si>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</si>
  <si>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</si>
  <si>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</si>
  <si>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</si>
  <si>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</si>
  <si>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</si>
  <si>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</si>
  <si>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</si>
  <si>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</si>
  <si>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</si>
  <si>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</si>
  <si>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</si>
  <si>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</si>
  <si>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</si>
  <si>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</si>
  <si>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</si>
  <si>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</si>
  <si>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</si>
  <si>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</si>
  <si>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</si>
  <si>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</si>
  <si>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</si>
  <si>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</si>
  <si>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</si>
  <si>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</si>
  <si>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</si>
  <si>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</si>
  <si>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</si>
  <si>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</si>
  <si>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</si>
  <si>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</si>
  <si>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</si>
  <si>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</si>
  <si>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</si>
  <si>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</si>
  <si>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</si>
  <si>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</si>
  <si>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</si>
  <si>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</si>
  <si>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</si>
  <si>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</si>
  <si>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</si>
  <si>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</si>
  <si>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</si>
  <si>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</si>
  <si>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</si>
  <si>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</si>
  <si>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</si>
  <si>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</si>
  <si>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</si>
  <si>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</si>
  <si>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</si>
  <si>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</si>
  <si>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</si>
  <si>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</si>
  <si>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</si>
  <si>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</si>
  <si>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</si>
  <si>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</si>
  <si>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</si>
  <si>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</si>
  <si>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</si>
  <si>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</si>
  <si>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</si>
  <si>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</si>
  <si>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</si>
  <si>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</si>
  <si>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</si>
  <si>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</si>
  <si>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</si>
  <si>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</si>
  <si>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</si>
  <si>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</si>
  <si>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</si>
  <si>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</si>
  <si>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</si>
  <si>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</si>
  <si>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</si>
  <si>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</si>
  <si>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</si>
  <si>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</si>
  <si>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</si>
  <si>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</si>
  <si>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</si>
  <si>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</si>
  <si>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</si>
  <si>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</si>
  <si>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</si>
  <si>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</si>
  <si>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</si>
  <si>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</si>
  <si>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</si>
  <si>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</si>
  <si>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</si>
  <si>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</si>
  <si>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</si>
  <si>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</si>
  <si>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</si>
  <si>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</si>
  <si>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</si>
  <si>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</si>
  <si>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</si>
  <si>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</si>
  <si>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</si>
  <si>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</si>
  <si>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</si>
  <si>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</si>
  <si>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</si>
  <si>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</si>
  <si>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</si>
  <si>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</si>
  <si>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</si>
  <si>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</si>
  <si>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</si>
  <si>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</si>
  <si>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</si>
  <si>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</si>
  <si>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</si>
  <si>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</si>
  <si>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</si>
  <si>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</si>
  <si>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</si>
  <si>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</si>
  <si>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</si>
  <si>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</si>
  <si>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</si>
  <si>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</si>
  <si>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</si>
  <si>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</si>
  <si>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</si>
  <si>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</si>
  <si>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</si>
  <si>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</si>
  <si>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</si>
  <si>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</si>
  <si>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</si>
  <si>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</si>
  <si>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</si>
  <si>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</si>
  <si>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</si>
  <si>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</si>
  <si>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</si>
  <si>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</si>
  <si>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</si>
  <si>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</si>
  <si>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</si>
  <si>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</si>
  <si>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</si>
  <si>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</si>
  <si>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</si>
  <si>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</si>
  <si>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</si>
  <si>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</si>
  <si>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</si>
  <si>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</si>
  <si>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</si>
  <si>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</si>
  <si>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</si>
  <si>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</si>
  <si>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</si>
  <si>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</si>
  <si>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</si>
  <si>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</si>
  <si>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</si>
  <si>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</si>
  <si>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</si>
  <si>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</si>
  <si>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</si>
  <si>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</si>
  <si>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</si>
  <si>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</si>
  <si>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</si>
  <si>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</si>
  <si>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</si>
  <si>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</si>
  <si>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</si>
  <si>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</si>
  <si>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</si>
  <si>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</si>
  <si>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</si>
  <si>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</si>
  <si>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</si>
  <si>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</si>
  <si>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</si>
  <si>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</si>
  <si>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</si>
  <si>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</si>
  <si>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</si>
  <si>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</si>
  <si>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</si>
  <si>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</si>
  <si>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</si>
  <si>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</si>
  <si>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</si>
  <si>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</si>
  <si>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</si>
  <si>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</si>
  <si>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</si>
  <si>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</si>
  <si>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</si>
  <si>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</si>
  <si>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</si>
  <si>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</si>
  <si>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</si>
  <si>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</si>
  <si>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</si>
  <si>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</si>
  <si>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</si>
  <si>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</si>
  <si>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</si>
  <si>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</si>
  <si>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</si>
  <si>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</si>
  <si>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</si>
  <si>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</si>
  <si>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</si>
  <si>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</si>
  <si>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</si>
  <si>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</si>
  <si>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</si>
  <si>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</si>
  <si>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</si>
  <si>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</si>
  <si>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</si>
  <si>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</si>
  <si>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</si>
  <si>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</si>
  <si>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</si>
  <si>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</si>
  <si>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</si>
  <si>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</si>
  <si>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</si>
  <si>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</si>
  <si>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</si>
  <si>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</si>
  <si>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</si>
  <si>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</si>
  <si>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</si>
  <si>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</si>
  <si>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</si>
  <si>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</si>
  <si>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</si>
  <si>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</si>
  <si>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</si>
  <si>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</si>
  <si>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</si>
  <si>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</si>
  <si>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</si>
  <si>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</si>
  <si>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</si>
  <si>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</si>
  <si>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</si>
  <si>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</si>
  <si>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</si>
  <si>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</si>
  <si>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</si>
  <si>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</si>
  <si>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</si>
  <si>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</si>
  <si>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</si>
  <si>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</si>
  <si>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</si>
  <si>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</si>
  <si>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</si>
  <si>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</si>
  <si>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</si>
  <si>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</si>
  <si>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</si>
  <si>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</si>
  <si>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</si>
  <si>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</si>
  <si>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</si>
  <si>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</si>
  <si>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</si>
  <si>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</si>
  <si>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</si>
  <si>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</si>
  <si>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</si>
  <si>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</si>
  <si>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</si>
  <si>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</si>
  <si>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</si>
  <si>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</si>
  <si>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</si>
  <si>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</si>
  <si>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</si>
  <si>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</si>
  <si>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</si>
  <si>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</si>
  <si>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</si>
  <si>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</si>
  <si>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</si>
  <si>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</si>
  <si>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</si>
  <si>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</si>
  <si>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</si>
  <si>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</si>
  <si>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</si>
  <si>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</si>
  <si>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</si>
  <si>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</si>
  <si>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</si>
  <si>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</si>
  <si>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</si>
  <si>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</si>
  <si>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</si>
  <si>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</si>
  <si>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</si>
  <si>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</si>
  <si>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</si>
  <si>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</si>
  <si>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</si>
  <si>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</si>
  <si>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</si>
  <si>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</si>
  <si>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</si>
  <si>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</si>
  <si>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</si>
  <si>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</si>
  <si>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</si>
  <si>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</si>
  <si>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</si>
  <si>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</si>
  <si>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</si>
  <si>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</si>
  <si>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</si>
  <si>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</si>
  <si>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</si>
  <si>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</si>
  <si>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</si>
  <si>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</si>
  <si>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</si>
  <si>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</si>
  <si>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</si>
  <si>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</si>
  <si>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</si>
  <si>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</si>
  <si>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</si>
  <si>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</si>
  <si>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</si>
  <si>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</si>
  <si>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</si>
  <si>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</si>
  <si>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</si>
  <si>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</si>
  <si>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</si>
  <si>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</si>
  <si>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</si>
  <si>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</si>
  <si>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</si>
  <si>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</si>
  <si>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</si>
  <si>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</si>
  <si>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</si>
  <si>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</si>
  <si>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</si>
  <si>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</si>
  <si>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</si>
  <si>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</si>
  <si>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</si>
  <si>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</si>
  <si>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</si>
  <si>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</si>
  <si>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</si>
  <si>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</si>
  <si>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</si>
  <si>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</si>
  <si>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</si>
  <si>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</si>
  <si>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</si>
  <si>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</si>
  <si>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</si>
  <si>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</si>
  <si>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</si>
  <si>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</si>
  <si>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</si>
  <si>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</si>
  <si>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</si>
  <si>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</si>
  <si>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</si>
  <si>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</si>
  <si>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</si>
  <si>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</si>
  <si>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</si>
  <si>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</si>
  <si>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</si>
  <si>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</si>
  <si>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</si>
  <si>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</si>
  <si>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</si>
  <si>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</si>
  <si>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</si>
  <si>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</si>
  <si>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</si>
  <si>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</si>
  <si>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</si>
  <si>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</si>
  <si>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</si>
  <si>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</si>
  <si>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</si>
  <si>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</si>
  <si>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</si>
  <si>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</si>
  <si>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</si>
  <si>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</si>
  <si>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</si>
  <si>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</si>
  <si>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</si>
  <si>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</si>
  <si>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</si>
  <si>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</si>
  <si>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</si>
  <si>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</si>
  <si>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</si>
  <si>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</si>
  <si>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</si>
  <si>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</si>
  <si>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</si>
  <si>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</si>
  <si>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</si>
  <si>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</si>
  <si>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</si>
  <si>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</si>
  <si>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</si>
  <si>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</si>
  <si>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</si>
  <si>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</si>
  <si>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</si>
  <si>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</si>
  <si>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</si>
  <si>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</si>
  <si>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</si>
  <si>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</si>
  <si>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</si>
  <si>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</si>
  <si>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</si>
  <si>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</si>
  <si>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</si>
  <si>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</si>
  <si>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</si>
  <si>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</si>
  <si>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</si>
  <si>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</si>
  <si>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</si>
  <si>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</si>
  <si>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</si>
  <si>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</si>
  <si>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</si>
  <si>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</si>
  <si>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</si>
  <si>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</si>
  <si>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</si>
  <si>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</si>
  <si>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</si>
  <si>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</si>
  <si>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</si>
  <si>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</si>
  <si>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</si>
  <si>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</si>
  <si>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</si>
  <si>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</si>
  <si>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</si>
  <si>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</si>
  <si>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</si>
  <si>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</si>
  <si>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</si>
  <si>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</si>
  <si>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</si>
  <si>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</si>
  <si>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</si>
  <si>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</si>
  <si>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</si>
  <si>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</si>
  <si>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</si>
  <si>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</si>
  <si>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</si>
  <si>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</si>
  <si>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</si>
  <si>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</si>
  <si>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</si>
  <si>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</si>
  <si>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</si>
  <si>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</si>
  <si>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</si>
  <si>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</si>
  <si>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</si>
  <si>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</si>
  <si>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</si>
  <si>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</si>
  <si>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</si>
  <si>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</si>
  <si>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</si>
  <si>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</si>
  <si>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</si>
  <si>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</si>
  <si>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</si>
  <si>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</si>
  <si>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</si>
  <si>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</si>
  <si>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</si>
  <si>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</si>
  <si>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</si>
  <si>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</si>
  <si>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</si>
  <si>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</si>
  <si>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</si>
  <si>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</si>
  <si>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</si>
  <si>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</si>
  <si>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</si>
  <si>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</si>
  <si>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</si>
  <si>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</si>
  <si>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</si>
  <si>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</si>
  <si>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</si>
  <si>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</si>
  <si>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</si>
  <si>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</si>
  <si>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</si>
  <si>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</si>
  <si>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</si>
  <si>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</si>
  <si>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</si>
  <si>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</si>
  <si>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</si>
  <si>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</si>
  <si>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</si>
  <si>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</si>
  <si>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</si>
  <si>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</si>
  <si>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</si>
  <si>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</si>
  <si>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</si>
  <si>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</si>
  <si>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</si>
  <si>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</si>
  <si>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</si>
  <si>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</si>
  <si>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</si>
  <si>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</si>
  <si>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</si>
  <si>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</si>
  <si>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</si>
  <si>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</si>
  <si>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</si>
  <si>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</si>
  <si>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</si>
  <si>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</si>
  <si>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</si>
  <si>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</si>
  <si>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</si>
  <si>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</si>
  <si>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</si>
  <si>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</si>
  <si>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</si>
  <si>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</si>
  <si>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</si>
  <si>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</si>
  <si>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</si>
  <si>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</si>
  <si>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</si>
  <si>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</si>
  <si>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</si>
  <si>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</si>
  <si>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</si>
  <si>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</si>
  <si>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</si>
  <si>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</si>
  <si>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</si>
  <si>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</si>
  <si>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</si>
  <si>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</si>
  <si>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</si>
  <si>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</si>
  <si>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</si>
  <si>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</si>
  <si>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</si>
  <si>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</si>
  <si>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</si>
  <si>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</si>
  <si>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</si>
  <si>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</si>
  <si>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</si>
  <si>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</si>
  <si>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</si>
  <si>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</si>
  <si>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</si>
  <si>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</si>
  <si>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</si>
  <si>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</si>
  <si>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</si>
  <si>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</si>
  <si>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</si>
  <si>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</si>
  <si>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</si>
  <si>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</si>
  <si>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</si>
  <si>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</si>
  <si>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</si>
  <si>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</si>
  <si>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</si>
  <si>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</si>
  <si>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</si>
  <si>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</si>
  <si>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</si>
  <si>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</si>
  <si>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</si>
  <si>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</si>
  <si>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</si>
  <si>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</si>
  <si>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</si>
  <si>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</si>
  <si>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</si>
  <si>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</si>
  <si>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</si>
  <si>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</si>
  <si>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</si>
  <si>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</si>
  <si>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</si>
  <si>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</si>
  <si>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</si>
  <si>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</si>
  <si>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</si>
  <si>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</si>
  <si>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</si>
  <si>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</si>
  <si>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</si>
  <si>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</si>
  <si>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</si>
  <si>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</si>
  <si>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</si>
  <si>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</si>
  <si>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</si>
  <si>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</si>
  <si>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</si>
  <si>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</si>
  <si>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</si>
  <si>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</si>
  <si>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</si>
  <si>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</si>
  <si>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</si>
  <si>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</si>
  <si>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</si>
  <si>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</si>
  <si>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</si>
  <si>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</si>
  <si>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</si>
  <si>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</si>
  <si>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</si>
  <si>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</si>
  <si>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</si>
  <si>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</si>
  <si>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</si>
  <si>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</si>
  <si>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</si>
  <si>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</si>
  <si>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</si>
  <si>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</si>
  <si>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</si>
  <si>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</si>
  <si>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</si>
  <si>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</si>
  <si>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</si>
  <si>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</si>
  <si>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</si>
  <si>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</si>
  <si>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</si>
  <si>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</si>
  <si>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</si>
  <si>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</si>
  <si>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</si>
  <si>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</si>
  <si>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</si>
  <si>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</si>
  <si>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</si>
  <si>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</si>
  <si>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</si>
  <si>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</si>
  <si>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</si>
  <si>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</si>
  <si>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</si>
  <si>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</si>
  <si>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</si>
  <si>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</si>
  <si>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</si>
  <si>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</si>
  <si>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</si>
  <si>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</si>
  <si>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</si>
  <si>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</si>
  <si>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</si>
  <si>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</si>
  <si>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</si>
  <si>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</si>
  <si>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</si>
  <si>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</si>
  <si>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</si>
  <si>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</si>
  <si>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</si>
  <si>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</si>
  <si>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</si>
  <si>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</si>
  <si>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</si>
  <si>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</si>
  <si>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</si>
  <si>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</si>
  <si>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</si>
  <si>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</si>
  <si>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</si>
  <si>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</si>
  <si>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</si>
  <si>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</si>
  <si>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</si>
  <si>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</si>
  <si>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</si>
  <si>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</si>
  <si>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</si>
  <si>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</si>
  <si>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</si>
  <si>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</si>
  <si>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</si>
  <si>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</si>
  <si>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</si>
  <si>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</si>
  <si>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</si>
  <si>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</si>
  <si>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</si>
  <si>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</si>
  <si>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</si>
  <si>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</si>
  <si>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</si>
  <si>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</si>
  <si>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</si>
  <si>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</si>
  <si>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</si>
  <si>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</si>
  <si>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</si>
  <si>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</si>
  <si>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</si>
  <si>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</si>
  <si>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</si>
  <si>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</si>
  <si>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</si>
  <si>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</si>
  <si>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</si>
  <si>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</si>
  <si>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</si>
  <si>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</si>
  <si>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</si>
  <si>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</si>
  <si>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</si>
  <si>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</si>
  <si>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</si>
  <si>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</si>
  <si>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</si>
  <si>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</si>
  <si>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</si>
  <si>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</si>
  <si>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</si>
  <si>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</si>
  <si>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</si>
  <si>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</si>
  <si>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</si>
  <si>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</si>
  <si>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</si>
  <si>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</si>
  <si>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</si>
  <si>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</si>
  <si>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</si>
  <si>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</si>
  <si>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</si>
  <si>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</si>
  <si>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</si>
  <si>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</si>
  <si>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</si>
  <si>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</si>
  <si>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</si>
  <si>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</si>
  <si>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</si>
  <si>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</si>
  <si>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</si>
  <si>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</si>
  <si>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</si>
  <si>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</si>
  <si>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</si>
  <si>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</si>
  <si>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</si>
  <si>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</si>
  <si>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</si>
  <si>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</si>
  <si>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</si>
  <si>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</si>
  <si>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</si>
  <si>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</si>
  <si>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</si>
  <si>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</si>
  <si>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</si>
  <si>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</si>
  <si>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</si>
  <si>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</si>
  <si>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</si>
  <si>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</si>
  <si>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</si>
  <si>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</si>
  <si>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</si>
  <si>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</si>
  <si>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</si>
  <si>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</si>
  <si>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</si>
  <si>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</si>
  <si>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</si>
  <si>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</si>
  <si>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</si>
  <si>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</si>
  <si>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</si>
  <si>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</si>
  <si>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</si>
  <si>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</si>
  <si>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</si>
  <si>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</si>
  <si>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</si>
  <si>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</si>
  <si>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</si>
  <si>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</si>
  <si>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</si>
  <si>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</si>
  <si>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</si>
  <si>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</si>
  <si>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</si>
  <si>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</si>
  <si>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</si>
  <si>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</si>
  <si>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</si>
  <si>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</si>
  <si>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</si>
  <si>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</si>
  <si>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</si>
  <si>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</si>
  <si>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</si>
  <si>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</si>
  <si>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</si>
  <si>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</si>
  <si>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</si>
  <si>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</si>
  <si>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</si>
  <si>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</si>
  <si>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</si>
  <si>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</si>
  <si>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</si>
  <si>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</si>
  <si>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</si>
  <si>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</si>
  <si>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</si>
  <si>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</si>
  <si>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</si>
  <si>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</si>
  <si>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</si>
  <si>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</si>
  <si>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</si>
  <si>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</si>
  <si>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Jan</t>
  </si>
  <si>
    <t>Feb</t>
  </si>
  <si>
    <t>Mar</t>
  </si>
  <si>
    <t>Apr</t>
  </si>
  <si>
    <t>May</t>
  </si>
  <si>
    <t>Jun</t>
  </si>
  <si>
    <t>Jul</t>
  </si>
  <si>
    <t>Aug</t>
  </si>
  <si>
    <t>Sep</t>
  </si>
  <si>
    <t>Oct</t>
  </si>
  <si>
    <t>Nov</t>
  </si>
  <si>
    <t>Dec</t>
  </si>
  <si>
    <t>Friday</t>
  </si>
  <si>
    <t>Monday</t>
  </si>
  <si>
    <t>Saturday</t>
  </si>
  <si>
    <t>Sunday</t>
  </si>
  <si>
    <t>Thursday</t>
  </si>
  <si>
    <t>Tuesday</t>
  </si>
  <si>
    <t>Wednesday</t>
  </si>
  <si>
    <t>for graph</t>
  </si>
  <si>
    <t>calls</t>
  </si>
  <si>
    <t>amount</t>
  </si>
  <si>
    <t>selected rep</t>
  </si>
  <si>
    <t>Total Duration</t>
  </si>
  <si>
    <t>call count</t>
  </si>
  <si>
    <t>Total amount</t>
  </si>
  <si>
    <t>Avg Rating</t>
  </si>
  <si>
    <t>5* calls</t>
  </si>
  <si>
    <t>call count2</t>
  </si>
  <si>
    <t>Rep</t>
  </si>
  <si>
    <t>sel.calls</t>
  </si>
  <si>
    <t>sel.amount</t>
  </si>
  <si>
    <t>Column Labels</t>
  </si>
  <si>
    <t>.</t>
  </si>
  <si>
    <t>TOTAL</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</si>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</sst>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22"/>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left"/>
    </xf>
    <xf numFmtId="167" fontId="0" fillId="0" borderId="0" xfId="0" applyNumberFormat="1"/>
    <xf numFmtId="0" fontId="0" fillId="0" borderId="0" xfId="0" applyAlignment="1">
      <alignment horizontal="left" indent="1"/>
    </xf>
    <xf numFmtId="0" fontId="0" fillId="5" borderId="0" xfId="0" applyFill="1"/>
    <xf numFmtId="0" fontId="4" fillId="5" borderId="0" xfId="0" applyFont="1" applyFill="1" applyAlignment="1">
      <alignment horizontal="left" indent="1"/>
    </xf>
    <xf numFmtId="168" fontId="0" fillId="5" borderId="0" xfId="0" applyNumberFormat="1" applyFill="1"/>
    <xf numFmtId="0" fontId="4" fillId="5" borderId="0" xfId="0" applyFont="1" applyFill="1" applyAlignment="1">
      <alignment horizontal="left" indent="2"/>
    </xf>
    <xf numFmtId="0" fontId="5" fillId="3" borderId="0" xfId="0" applyFont="1" applyFill="1"/>
  </cellXfs>
  <cellStyles count="1">
    <cellStyle name="Normal" xfId="0" builtinId="0"/>
  </cellStyles>
  <dxfs count="24">
    <dxf>
      <fill>
        <patternFill patternType="solid">
          <bgColor theme="0" tint="-0.14999847407452621"/>
        </patternFill>
      </fill>
    </dxf>
    <dxf>
      <fill>
        <patternFill>
          <bgColor theme="8"/>
        </patternFill>
      </fill>
    </dxf>
    <dxf>
      <fill>
        <patternFill patternType="solid">
          <bgColor theme="0" tint="-0.14999847407452621"/>
        </patternFill>
      </fill>
    </dxf>
    <dxf>
      <fill>
        <patternFill>
          <bgColor theme="8"/>
        </patternFill>
      </fill>
    </dxf>
    <dxf>
      <fill>
        <patternFill>
          <bgColor theme="8" tint="0.39994506668294322"/>
        </patternFill>
      </fill>
      <border>
        <left style="thin">
          <color rgb="FF4B4B4B"/>
        </left>
        <right style="thin">
          <color rgb="FF4B4B4B"/>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8"/>
        </patternFill>
      </fill>
    </dxf>
    <dxf>
      <fill>
        <patternFill patternType="solid">
          <bgColor theme="0" tint="-0.14999847407452621"/>
        </patternFill>
      </fill>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3"/>
    </tableStyle>
    <tableStyle name="SlicerStyleDark5 2" pivot="0" table="0" count="10" xr9:uid="{469084CD-35CB-4010-9740-53E152AFDB09}">
      <tableStyleElement type="wholeTable" dxfId="22"/>
      <tableStyleElement type="headerRow" dxfId="21"/>
    </tableStyle>
  </tableStyles>
  <colors>
    <mruColors>
      <color rgb="FF4B4B4B"/>
      <color rgb="FFFFFFFF"/>
      <color rgb="FFDDDDDD"/>
      <color rgb="FFC0C0C0"/>
      <color rgb="FFEAEAEA"/>
      <color rgb="FF000000"/>
      <color rgb="FFABA9A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Call Centre Report.xlsx]Pivot!Weekday Trend</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75900021512661"/>
          <c:y val="6.9982615809387458E-2"/>
          <c:w val="0.58614082162911396"/>
          <c:h val="0.85479428707775162"/>
        </c:manualLayout>
      </c:layout>
      <c:barChart>
        <c:barDir val="bar"/>
        <c:grouping val="clustered"/>
        <c:varyColors val="0"/>
        <c:ser>
          <c:idx val="0"/>
          <c:order val="0"/>
          <c:tx>
            <c:strRef>
              <c:f>Pivot!$F$10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Pivot!$E$11:$E$18</c:f>
              <c:strCache>
                <c:ptCount val="7"/>
                <c:pt idx="0">
                  <c:v>Sunday</c:v>
                </c:pt>
                <c:pt idx="1">
                  <c:v>Monday</c:v>
                </c:pt>
                <c:pt idx="2">
                  <c:v>Tuesday</c:v>
                </c:pt>
                <c:pt idx="3">
                  <c:v>Wednesday</c:v>
                </c:pt>
                <c:pt idx="4">
                  <c:v>Thursday</c:v>
                </c:pt>
                <c:pt idx="5">
                  <c:v>Friday</c:v>
                </c:pt>
                <c:pt idx="6">
                  <c:v>Saturday</c:v>
                </c:pt>
              </c:strCache>
            </c:strRef>
          </c:cat>
          <c:val>
            <c:numRef>
              <c:f>Pivot!$F$11:$F$18</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D063-4A6E-9E5C-28E465122501}"/>
            </c:ext>
          </c:extLst>
        </c:ser>
        <c:dLbls>
          <c:showLegendKey val="0"/>
          <c:showVal val="0"/>
          <c:showCatName val="0"/>
          <c:showSerName val="0"/>
          <c:showPercent val="0"/>
          <c:showBubbleSize val="0"/>
        </c:dLbls>
        <c:gapWidth val="25"/>
        <c:axId val="700720544"/>
        <c:axId val="700706624"/>
      </c:barChart>
      <c:catAx>
        <c:axId val="70072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06624"/>
        <c:crosses val="autoZero"/>
        <c:auto val="1"/>
        <c:lblAlgn val="ctr"/>
        <c:lblOffset val="100"/>
        <c:noMultiLvlLbl val="0"/>
      </c:catAx>
      <c:valAx>
        <c:axId val="700706624"/>
        <c:scaling>
          <c:orientation val="minMax"/>
        </c:scaling>
        <c:delete val="1"/>
        <c:axPos val="b"/>
        <c:numFmt formatCode="#,##0" sourceLinked="1"/>
        <c:majorTickMark val="out"/>
        <c:minorTickMark val="none"/>
        <c:tickLblPos val="nextTo"/>
        <c:crossAx val="70072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Call Centre Report.xlsx]Pivot!Monthly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Trend</a:t>
            </a:r>
          </a:p>
        </c:rich>
      </c:tx>
      <c:layout>
        <c:manualLayout>
          <c:xMode val="edge"/>
          <c:yMode val="edge"/>
          <c:x val="3.4669876791716833E-2"/>
          <c:y val="3.1446540880503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20000"/>
                  <a:lumOff val="80000"/>
                  <a:alpha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17907629967302E-2"/>
          <c:y val="0.1788491061258852"/>
          <c:w val="0.87078825673106641"/>
          <c:h val="0.61358589610260983"/>
        </c:manualLayout>
      </c:layout>
      <c:areaChart>
        <c:grouping val="standard"/>
        <c:varyColors val="0"/>
        <c:ser>
          <c:idx val="1"/>
          <c:order val="1"/>
          <c:tx>
            <c:strRef>
              <c:f>Pivot!$C$10</c:f>
              <c:strCache>
                <c:ptCount val="1"/>
                <c:pt idx="0">
                  <c:v>call count2</c:v>
                </c:pt>
              </c:strCache>
            </c:strRef>
          </c:tx>
          <c:spPr>
            <a:gradFill>
              <a:gsLst>
                <a:gs pos="0">
                  <a:schemeClr val="accent6"/>
                </a:gs>
                <a:gs pos="100000">
                  <a:schemeClr val="accent6">
                    <a:lumMod val="20000"/>
                    <a:lumOff val="80000"/>
                    <a:alpha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Pivot!$C$11:$C$23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5D7A-468D-B8E2-BC2F5B2A99DA}"/>
            </c:ext>
          </c:extLst>
        </c:ser>
        <c:dLbls>
          <c:showLegendKey val="0"/>
          <c:showVal val="0"/>
          <c:showCatName val="0"/>
          <c:showSerName val="0"/>
          <c:showPercent val="0"/>
          <c:showBubbleSize val="0"/>
        </c:dLbls>
        <c:axId val="1454285632"/>
        <c:axId val="1454300032"/>
      </c:areaChart>
      <c:lineChart>
        <c:grouping val="standard"/>
        <c:varyColors val="0"/>
        <c:ser>
          <c:idx val="0"/>
          <c:order val="0"/>
          <c:tx>
            <c:strRef>
              <c:f>Pivot!$B$10</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rgbClr val="000000"/>
                </a:solidFill>
              </a:ln>
              <a:effectLst/>
            </c:spPr>
          </c:marker>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Pivot!$B$11:$B$23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5D7A-468D-B8E2-BC2F5B2A99DA}"/>
            </c:ext>
          </c:extLst>
        </c:ser>
        <c:dLbls>
          <c:showLegendKey val="0"/>
          <c:showVal val="0"/>
          <c:showCatName val="0"/>
          <c:showSerName val="0"/>
          <c:showPercent val="0"/>
          <c:showBubbleSize val="0"/>
        </c:dLbls>
        <c:marker val="1"/>
        <c:smooth val="0"/>
        <c:axId val="1454285632"/>
        <c:axId val="1454300032"/>
      </c:lineChart>
      <c:catAx>
        <c:axId val="14542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00032"/>
        <c:crosses val="autoZero"/>
        <c:auto val="1"/>
        <c:lblAlgn val="ctr"/>
        <c:lblOffset val="100"/>
        <c:noMultiLvlLbl val="0"/>
      </c:catAx>
      <c:valAx>
        <c:axId val="145430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8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Amount</a:t>
            </a:r>
          </a:p>
        </c:rich>
      </c:tx>
      <c:layout>
        <c:manualLayout>
          <c:xMode val="edge"/>
          <c:yMode val="edge"/>
          <c:x val="6.3925233644859789E-2"/>
          <c:y val="4.1450784718114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Pivot!$E$32:$E$36</c:f>
              <c:strCache>
                <c:ptCount val="5"/>
                <c:pt idx="0">
                  <c:v>R01</c:v>
                </c:pt>
                <c:pt idx="1">
                  <c:v>R02</c:v>
                </c:pt>
                <c:pt idx="2">
                  <c:v>R03</c:v>
                </c:pt>
                <c:pt idx="3">
                  <c:v>R04</c:v>
                </c:pt>
                <c:pt idx="4">
                  <c:v>R05</c:v>
                </c:pt>
              </c:strCache>
            </c:strRef>
          </c:cat>
          <c:val>
            <c:numRef>
              <c:f>Pivot!$G$32:$G$36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3DF-4424-A605-4900EC4EEA82}"/>
            </c:ext>
          </c:extLst>
        </c:ser>
        <c:ser>
          <c:idx val="1"/>
          <c:order val="1"/>
          <c:tx>
            <c:strRef>
              <c:f>Pivot!$I$31</c:f>
              <c:strCache>
                <c:ptCount val="1"/>
                <c:pt idx="0">
                  <c:v>sel.amount</c:v>
                </c:pt>
              </c:strCache>
            </c:strRef>
          </c:tx>
          <c:spPr>
            <a:gradFill flip="none" rotWithShape="1">
              <a:gsLst>
                <a:gs pos="0">
                  <a:schemeClr val="accent5">
                    <a:lumMod val="40000"/>
                    <a:lumOff val="60000"/>
                  </a:schemeClr>
                </a:gs>
                <a:gs pos="100000">
                  <a:schemeClr val="accent6"/>
                </a:gs>
              </a:gsLst>
              <a:lin ang="0" scaled="1"/>
              <a:tileRect/>
            </a:gradFill>
            <a:ln>
              <a:noFill/>
            </a:ln>
            <a:effectLst/>
          </c:spPr>
          <c:invertIfNegative val="0"/>
          <c:dLbls>
            <c:dLbl>
              <c:idx val="1"/>
              <c:delete val="1"/>
              <c:extLst>
                <c:ext xmlns:c15="http://schemas.microsoft.com/office/drawing/2012/chart" uri="{CE6537A1-D6FC-4f65-9D91-7224C49458BB}">
                  <c15:layout>
                    <c:manualLayout>
                      <c:w val="0.22461059190031152"/>
                      <c:h val="0.14731166456995082"/>
                    </c:manualLayout>
                  </c15:layout>
                </c:ext>
                <c:ext xmlns:c16="http://schemas.microsoft.com/office/drawing/2014/chart" uri="{C3380CC4-5D6E-409C-BE32-E72D297353CC}">
                  <c16:uniqueId val="{00000002-D3DF-4424-A605-4900EC4EEA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Pivot!$I$32:$I$36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3DF-4424-A605-4900EC4EEA82}"/>
            </c:ext>
          </c:extLst>
        </c:ser>
        <c:dLbls>
          <c:dLblPos val="outEnd"/>
          <c:showLegendKey val="0"/>
          <c:showVal val="1"/>
          <c:showCatName val="0"/>
          <c:showSerName val="0"/>
          <c:showPercent val="0"/>
          <c:showBubbleSize val="0"/>
        </c:dLbls>
        <c:gapWidth val="25"/>
        <c:overlap val="100"/>
        <c:axId val="700705184"/>
        <c:axId val="700710464"/>
      </c:barChart>
      <c:catAx>
        <c:axId val="700705184"/>
        <c:scaling>
          <c:orientation val="maxMin"/>
        </c:scaling>
        <c:delete val="1"/>
        <c:axPos val="l"/>
        <c:numFmt formatCode="General" sourceLinked="1"/>
        <c:majorTickMark val="none"/>
        <c:minorTickMark val="none"/>
        <c:tickLblPos val="nextTo"/>
        <c:crossAx val="700710464"/>
        <c:crosses val="autoZero"/>
        <c:auto val="1"/>
        <c:lblAlgn val="ctr"/>
        <c:lblOffset val="100"/>
        <c:noMultiLvlLbl val="0"/>
      </c:catAx>
      <c:valAx>
        <c:axId val="700710464"/>
        <c:scaling>
          <c:orientation val="minMax"/>
        </c:scaling>
        <c:delete val="1"/>
        <c:axPos val="t"/>
        <c:numFmt formatCode="&quot;$&quot;#,###.0,&quot;K&quot;" sourceLinked="1"/>
        <c:majorTickMark val="none"/>
        <c:minorTickMark val="none"/>
        <c:tickLblPos val="none"/>
        <c:crossAx val="70070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Calls</a:t>
            </a:r>
          </a:p>
        </c:rich>
      </c:tx>
      <c:layout>
        <c:manualLayout>
          <c:xMode val="edge"/>
          <c:yMode val="edge"/>
          <c:x val="5.3656328673201539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Pivot!$E$32:$E$36</c:f>
              <c:strCache>
                <c:ptCount val="5"/>
                <c:pt idx="0">
                  <c:v>R01</c:v>
                </c:pt>
                <c:pt idx="1">
                  <c:v>R02</c:v>
                </c:pt>
                <c:pt idx="2">
                  <c:v>R03</c:v>
                </c:pt>
                <c:pt idx="3">
                  <c:v>R04</c:v>
                </c:pt>
                <c:pt idx="4">
                  <c:v>R05</c:v>
                </c:pt>
              </c:strCache>
            </c:strRef>
          </c:cat>
          <c:val>
            <c:numRef>
              <c:f>Pivot!$F$32:$F$36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98A-405A-BCC7-76F94BD38191}"/>
            </c:ext>
          </c:extLst>
        </c:ser>
        <c:ser>
          <c:idx val="1"/>
          <c:order val="1"/>
          <c:tx>
            <c:strRef>
              <c:f>Pivot!$H$31</c:f>
              <c:strCache>
                <c:ptCount val="1"/>
                <c:pt idx="0">
                  <c:v>sel.calls</c:v>
                </c:pt>
              </c:strCache>
            </c:strRef>
          </c:tx>
          <c:spPr>
            <a:gradFill>
              <a:gsLst>
                <a:gs pos="0">
                  <a:schemeClr val="accent5">
                    <a:lumMod val="40000"/>
                    <a:lumOff val="60000"/>
                  </a:schemeClr>
                </a:gs>
                <a:gs pos="100000">
                  <a:schemeClr val="accent5"/>
                </a:gs>
              </a:gsLst>
              <a:lin ang="0" scaled="1"/>
            </a:gradFill>
            <a:ln>
              <a:noFill/>
            </a:ln>
            <a:effectLst/>
          </c:spPr>
          <c:invertIfNegative val="0"/>
          <c:dPt>
            <c:idx val="1"/>
            <c:invertIfNegative val="0"/>
            <c:bubble3D val="0"/>
            <c:spPr>
              <a:gradFill flip="none" rotWithShape="1">
                <a:gsLst>
                  <a:gs pos="0">
                    <a:schemeClr val="accent5">
                      <a:lumMod val="40000"/>
                      <a:lumOff val="60000"/>
                    </a:schemeClr>
                  </a:gs>
                  <a:gs pos="100000">
                    <a:schemeClr val="accent5"/>
                  </a:gs>
                </a:gsLst>
                <a:lin ang="0" scaled="1"/>
                <a:tileRect/>
              </a:gradFill>
              <a:ln>
                <a:noFill/>
              </a:ln>
              <a:effectLst/>
            </c:spPr>
            <c:extLst>
              <c:ext xmlns:c16="http://schemas.microsoft.com/office/drawing/2014/chart" uri="{C3380CC4-5D6E-409C-BE32-E72D297353CC}">
                <c16:uniqueId val="{00000002-898A-405A-BCC7-76F94BD381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Pivot!$H$32:$H$36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898A-405A-BCC7-76F94BD38191}"/>
            </c:ext>
          </c:extLst>
        </c:ser>
        <c:dLbls>
          <c:dLblPos val="outEnd"/>
          <c:showLegendKey val="0"/>
          <c:showVal val="1"/>
          <c:showCatName val="0"/>
          <c:showSerName val="0"/>
          <c:showPercent val="0"/>
          <c:showBubbleSize val="0"/>
        </c:dLbls>
        <c:gapWidth val="25"/>
        <c:overlap val="100"/>
        <c:axId val="700705184"/>
        <c:axId val="700710464"/>
      </c:barChart>
      <c:catAx>
        <c:axId val="7007051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10464"/>
        <c:crosses val="autoZero"/>
        <c:auto val="1"/>
        <c:lblAlgn val="ctr"/>
        <c:lblOffset val="100"/>
        <c:noMultiLvlLbl val="0"/>
      </c:catAx>
      <c:valAx>
        <c:axId val="700710464"/>
        <c:scaling>
          <c:orientation val="minMax"/>
          <c:min val="0"/>
        </c:scaling>
        <c:delete val="0"/>
        <c:axPos val="t"/>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0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Call Centre Report.xlsx]Pivot!PivotTable11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accent5"/>
                </a:solidFill>
              </a:rPr>
              <a:t>Female</a:t>
            </a:r>
            <a:r>
              <a:rPr lang="en-US" sz="1200" b="1" baseline="0"/>
              <a:t> vs. </a:t>
            </a:r>
            <a:r>
              <a:rPr lang="en-US" sz="1200" b="1" baseline="0">
                <a:solidFill>
                  <a:schemeClr val="accent4"/>
                </a:solidFill>
              </a:rPr>
              <a:t>Male</a:t>
            </a:r>
            <a:r>
              <a:rPr lang="en-US" sz="1200" b="1" baseline="0"/>
              <a:t> Callers</a:t>
            </a:r>
            <a:endParaRPr lang="en-US" sz="1200" b="1"/>
          </a:p>
        </c:rich>
      </c:tx>
      <c:layout>
        <c:manualLayout>
          <c:xMode val="edge"/>
          <c:yMode val="edge"/>
          <c:x val="0.13942910832643976"/>
          <c:y val="5.263157894736841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rgbClr val="FFFFFF">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rgbClr val="FFFFFF">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Pivot!$H$40:$H$41</c:f>
              <c:strCache>
                <c:ptCount val="1"/>
                <c:pt idx="0">
                  <c:v>Female</c:v>
                </c:pt>
              </c:strCache>
            </c:strRef>
          </c:tx>
          <c:spPr>
            <a:solidFill>
              <a:schemeClr val="accent5"/>
            </a:solidFill>
            <a:ln>
              <a:noFill/>
            </a:ln>
            <a:effectLst/>
          </c:spPr>
          <c:invertIfNegative val="0"/>
          <c:dLbls>
            <c:spPr>
              <a:solidFill>
                <a:srgbClr val="FFFFFF">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Pivot!$G$42:$G$45</c:f>
              <c:strCache>
                <c:ptCount val="3"/>
                <c:pt idx="0">
                  <c:v>Cincinnati</c:v>
                </c:pt>
                <c:pt idx="1">
                  <c:v>Cleveland</c:v>
                </c:pt>
                <c:pt idx="2">
                  <c:v>Columbus</c:v>
                </c:pt>
              </c:strCache>
            </c:strRef>
          </c:cat>
          <c:val>
            <c:numRef>
              <c:f>Pivot!$H$42:$H$45</c:f>
              <c:numCache>
                <c:formatCode>#,##0</c:formatCode>
                <c:ptCount val="3"/>
                <c:pt idx="0">
                  <c:v>144</c:v>
                </c:pt>
                <c:pt idx="1">
                  <c:v>326</c:v>
                </c:pt>
                <c:pt idx="2">
                  <c:v>129</c:v>
                </c:pt>
              </c:numCache>
            </c:numRef>
          </c:val>
          <c:extLst>
            <c:ext xmlns:c16="http://schemas.microsoft.com/office/drawing/2014/chart" uri="{C3380CC4-5D6E-409C-BE32-E72D297353CC}">
              <c16:uniqueId val="{00000000-ADAF-4F5A-9D67-BDDE13341DE1}"/>
            </c:ext>
          </c:extLst>
        </c:ser>
        <c:ser>
          <c:idx val="1"/>
          <c:order val="1"/>
          <c:tx>
            <c:strRef>
              <c:f>Pivot!$I$40:$I$41</c:f>
              <c:strCache>
                <c:ptCount val="1"/>
                <c:pt idx="0">
                  <c:v>Male</c:v>
                </c:pt>
              </c:strCache>
            </c:strRef>
          </c:tx>
          <c:spPr>
            <a:solidFill>
              <a:schemeClr val="accent4"/>
            </a:solidFill>
            <a:ln>
              <a:noFill/>
            </a:ln>
            <a:effectLst/>
          </c:spPr>
          <c:invertIfNegative val="0"/>
          <c:dLbls>
            <c:spPr>
              <a:solidFill>
                <a:srgbClr val="FFFFFF">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Pivot!$G$42:$G$45</c:f>
              <c:strCache>
                <c:ptCount val="3"/>
                <c:pt idx="0">
                  <c:v>Cincinnati</c:v>
                </c:pt>
                <c:pt idx="1">
                  <c:v>Cleveland</c:v>
                </c:pt>
                <c:pt idx="2">
                  <c:v>Columbus</c:v>
                </c:pt>
              </c:strCache>
            </c:strRef>
          </c:cat>
          <c:val>
            <c:numRef>
              <c:f>Pivot!$I$42:$I$45</c:f>
              <c:numCache>
                <c:formatCode>#,##0</c:formatCode>
                <c:ptCount val="3"/>
                <c:pt idx="0">
                  <c:v>132</c:v>
                </c:pt>
                <c:pt idx="1">
                  <c:v>63</c:v>
                </c:pt>
                <c:pt idx="2">
                  <c:v>206</c:v>
                </c:pt>
              </c:numCache>
            </c:numRef>
          </c:val>
          <c:extLst>
            <c:ext xmlns:c16="http://schemas.microsoft.com/office/drawing/2014/chart" uri="{C3380CC4-5D6E-409C-BE32-E72D297353CC}">
              <c16:uniqueId val="{00000001-ADAF-4F5A-9D67-BDDE13341DE1}"/>
            </c:ext>
          </c:extLst>
        </c:ser>
        <c:dLbls>
          <c:dLblPos val="ctr"/>
          <c:showLegendKey val="0"/>
          <c:showVal val="1"/>
          <c:showCatName val="0"/>
          <c:showSerName val="0"/>
          <c:showPercent val="0"/>
          <c:showBubbleSize val="0"/>
        </c:dLbls>
        <c:gapWidth val="25"/>
        <c:overlap val="100"/>
        <c:axId val="700693184"/>
        <c:axId val="700675424"/>
      </c:barChart>
      <c:catAx>
        <c:axId val="70069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75424"/>
        <c:crosses val="autoZero"/>
        <c:auto val="1"/>
        <c:lblAlgn val="ctr"/>
        <c:lblOffset val="100"/>
        <c:noMultiLvlLbl val="0"/>
      </c:catAx>
      <c:valAx>
        <c:axId val="700675424"/>
        <c:scaling>
          <c:orientation val="minMax"/>
        </c:scaling>
        <c:delete val="1"/>
        <c:axPos val="l"/>
        <c:numFmt formatCode="0%" sourceLinked="1"/>
        <c:majorTickMark val="out"/>
        <c:minorTickMark val="none"/>
        <c:tickLblPos val="nextTo"/>
        <c:crossAx val="70069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Call Centre Report.xlsx]Pivot!rep satisfaction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50000"/>
                  </a:schemeClr>
                </a:solidFill>
              </a:rPr>
              <a:t>Rating</a:t>
            </a:r>
          </a:p>
        </c:rich>
      </c:tx>
      <c:layout>
        <c:manualLayout>
          <c:xMode val="edge"/>
          <c:yMode val="edge"/>
          <c:x val="0.42936154257313575"/>
          <c:y val="6.1302667196991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s>
    <c:plotArea>
      <c:layout/>
      <c:barChart>
        <c:barDir val="col"/>
        <c:grouping val="clustered"/>
        <c:varyColors val="0"/>
        <c:ser>
          <c:idx val="0"/>
          <c:order val="0"/>
          <c:tx>
            <c:strRef>
              <c:f>Pivot!$M$40</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1-E12A-4F3E-BC95-873BC5E75A27}"/>
              </c:ext>
            </c:extLst>
          </c:dPt>
          <c:dPt>
            <c:idx val="4"/>
            <c:invertIfNegative val="0"/>
            <c:bubble3D val="0"/>
            <c:spPr>
              <a:solidFill>
                <a:schemeClr val="bg2">
                  <a:lumMod val="50000"/>
                </a:schemeClr>
              </a:solidFill>
              <a:ln>
                <a:noFill/>
              </a:ln>
              <a:effectLst/>
            </c:spPr>
          </c:dPt>
          <c:dPt>
            <c:idx val="5"/>
            <c:invertIfNegative val="0"/>
            <c:bubble3D val="0"/>
            <c:extLst>
              <c:ext xmlns:c16="http://schemas.microsoft.com/office/drawing/2014/chart" uri="{C3380CC4-5D6E-409C-BE32-E72D297353CC}">
                <c16:uniqueId val="{00000002-5E0D-403F-9613-6A437D9DF6BD}"/>
              </c:ext>
            </c:extLst>
          </c:dPt>
          <c:cat>
            <c:strRef>
              <c:f>Pivot!$L$41:$L$46</c:f>
              <c:strCache>
                <c:ptCount val="5"/>
                <c:pt idx="0">
                  <c:v>1</c:v>
                </c:pt>
                <c:pt idx="1">
                  <c:v>2</c:v>
                </c:pt>
                <c:pt idx="2">
                  <c:v>3</c:v>
                </c:pt>
                <c:pt idx="3">
                  <c:v>4</c:v>
                </c:pt>
                <c:pt idx="4">
                  <c:v>5</c:v>
                </c:pt>
              </c:strCache>
            </c:strRef>
          </c:cat>
          <c:val>
            <c:numRef>
              <c:f>Pivot!$M$41:$M$46</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DD40-4E67-B776-72A2B506D88D}"/>
            </c:ext>
          </c:extLst>
        </c:ser>
        <c:dLbls>
          <c:showLegendKey val="0"/>
          <c:showVal val="0"/>
          <c:showCatName val="0"/>
          <c:showSerName val="0"/>
          <c:showPercent val="0"/>
          <c:showBubbleSize val="0"/>
        </c:dLbls>
        <c:gapWidth val="10"/>
        <c:overlap val="-27"/>
        <c:axId val="1454273632"/>
        <c:axId val="1454253952"/>
      </c:barChart>
      <c:catAx>
        <c:axId val="145427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53952"/>
        <c:crosses val="autoZero"/>
        <c:auto val="1"/>
        <c:lblAlgn val="ctr"/>
        <c:lblOffset val="100"/>
        <c:noMultiLvlLbl val="0"/>
      </c:catAx>
      <c:valAx>
        <c:axId val="1454253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7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jpe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hyperlink" Target="https://www.healthista.com/women-who-get-what-they-want/" TargetMode="External"/></Relationships>
</file>

<file path=xl/drawings/drawing1.xml><?xml version="1.0" encoding="utf-8"?>
<xdr:wsDr xmlns:xdr="http://schemas.openxmlformats.org/drawingml/2006/spreadsheetDrawing" xmlns:a="http://schemas.openxmlformats.org/drawingml/2006/main">
  <xdr:twoCellAnchor>
    <xdr:from>
      <xdr:col>2</xdr:col>
      <xdr:colOff>47625</xdr:colOff>
      <xdr:row>2</xdr:row>
      <xdr:rowOff>171449</xdr:rowOff>
    </xdr:from>
    <xdr:to>
      <xdr:col>3</xdr:col>
      <xdr:colOff>619125</xdr:colOff>
      <xdr:row>7</xdr:row>
      <xdr:rowOff>142874</xdr:rowOff>
    </xdr:to>
    <xdr:sp macro="" textlink="Pivot!A4">
      <xdr:nvSpPr>
        <xdr:cNvPr id="2" name="Rectangle 1">
          <a:extLst>
            <a:ext uri="{FF2B5EF4-FFF2-40B4-BE49-F238E27FC236}">
              <a16:creationId xmlns:a16="http://schemas.microsoft.com/office/drawing/2014/main" id="{15235959-8595-A695-FE71-20704AD224B5}"/>
            </a:ext>
          </a:extLst>
        </xdr:cNvPr>
        <xdr:cNvSpPr/>
      </xdr:nvSpPr>
      <xdr:spPr>
        <a:xfrm>
          <a:off x="504825" y="552449"/>
          <a:ext cx="1257300" cy="9239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0C3C9-6B21-4D95-8DF8-F523995E4F1E}" type="TxLink">
            <a:rPr lang="en-US" sz="2400" b="1" i="0" u="none" strike="noStrike">
              <a:solidFill>
                <a:schemeClr val="bg1"/>
              </a:solidFill>
              <a:latin typeface="Aptos"/>
            </a:rPr>
            <a:pPr algn="ctr"/>
            <a:t>1,000</a:t>
          </a:fld>
          <a:endParaRPr lang="en-US" sz="2400" b="1">
            <a:solidFill>
              <a:schemeClr val="bg1"/>
            </a:solidFill>
          </a:endParaRPr>
        </a:p>
      </xdr:txBody>
    </xdr:sp>
    <xdr:clientData/>
  </xdr:twoCellAnchor>
  <xdr:twoCellAnchor>
    <xdr:from>
      <xdr:col>2</xdr:col>
      <xdr:colOff>161925</xdr:colOff>
      <xdr:row>3</xdr:row>
      <xdr:rowOff>0</xdr:rowOff>
    </xdr:from>
    <xdr:to>
      <xdr:col>3</xdr:col>
      <xdr:colOff>504825</xdr:colOff>
      <xdr:row>4</xdr:row>
      <xdr:rowOff>114300</xdr:rowOff>
    </xdr:to>
    <xdr:sp macro="" textlink="">
      <xdr:nvSpPr>
        <xdr:cNvPr id="3" name="TextBox 2">
          <a:extLst>
            <a:ext uri="{FF2B5EF4-FFF2-40B4-BE49-F238E27FC236}">
              <a16:creationId xmlns:a16="http://schemas.microsoft.com/office/drawing/2014/main" id="{C20F6FD4-CDFD-3F2D-54CF-87D9B07D1202}"/>
            </a:ext>
          </a:extLst>
        </xdr:cNvPr>
        <xdr:cNvSpPr txBox="1"/>
      </xdr:nvSpPr>
      <xdr:spPr>
        <a:xfrm>
          <a:off x="619125" y="571500"/>
          <a:ext cx="1028700"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Calls</a:t>
          </a:r>
        </a:p>
        <a:p>
          <a:endParaRPr lang="en-US" sz="1100"/>
        </a:p>
      </xdr:txBody>
    </xdr:sp>
    <xdr:clientData/>
  </xdr:twoCellAnchor>
  <xdr:twoCellAnchor editAs="oneCell">
    <xdr:from>
      <xdr:col>2</xdr:col>
      <xdr:colOff>104775</xdr:colOff>
      <xdr:row>3</xdr:row>
      <xdr:rowOff>9525</xdr:rowOff>
    </xdr:from>
    <xdr:to>
      <xdr:col>2</xdr:col>
      <xdr:colOff>342900</xdr:colOff>
      <xdr:row>4</xdr:row>
      <xdr:rowOff>57150</xdr:rowOff>
    </xdr:to>
    <xdr:pic>
      <xdr:nvPicPr>
        <xdr:cNvPr id="5" name="Graphic 4" descr="Receiver with solid fill">
          <a:extLst>
            <a:ext uri="{FF2B5EF4-FFF2-40B4-BE49-F238E27FC236}">
              <a16:creationId xmlns:a16="http://schemas.microsoft.com/office/drawing/2014/main" id="{57D5F4B5-65AF-4191-BBC8-D0EA71ACB8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975" y="581025"/>
          <a:ext cx="238125" cy="238125"/>
        </a:xfrm>
        <a:prstGeom prst="rect">
          <a:avLst/>
        </a:prstGeom>
      </xdr:spPr>
    </xdr:pic>
    <xdr:clientData/>
  </xdr:twoCellAnchor>
  <xdr:twoCellAnchor>
    <xdr:from>
      <xdr:col>2</xdr:col>
      <xdr:colOff>257175</xdr:colOff>
      <xdr:row>6</xdr:row>
      <xdr:rowOff>57150</xdr:rowOff>
    </xdr:from>
    <xdr:to>
      <xdr:col>3</xdr:col>
      <xdr:colOff>447675</xdr:colOff>
      <xdr:row>7</xdr:row>
      <xdr:rowOff>66675</xdr:rowOff>
    </xdr:to>
    <xdr:sp macro="" textlink="Pivot!A8">
      <xdr:nvSpPr>
        <xdr:cNvPr id="6" name="TextBox 5">
          <a:extLst>
            <a:ext uri="{FF2B5EF4-FFF2-40B4-BE49-F238E27FC236}">
              <a16:creationId xmlns:a16="http://schemas.microsoft.com/office/drawing/2014/main" id="{3731BE1A-34D3-CCB4-0340-14A6E7F6CAE9}"/>
            </a:ext>
          </a:extLst>
        </xdr:cNvPr>
        <xdr:cNvSpPr txBox="1"/>
      </xdr:nvSpPr>
      <xdr:spPr>
        <a:xfrm>
          <a:off x="714375" y="1200150"/>
          <a:ext cx="876300" cy="2000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974A7D-9D0F-4800-8819-D03C7F689DB8}" type="TxLink">
            <a:rPr lang="en-US" sz="1100" b="0" i="0" u="none" strike="noStrike">
              <a:solidFill>
                <a:schemeClr val="bg1"/>
              </a:solidFill>
              <a:latin typeface="Aptos"/>
            </a:rPr>
            <a:pPr algn="ctr"/>
            <a:t>189</a:t>
          </a:fld>
          <a:endParaRPr lang="en-US" sz="1100">
            <a:solidFill>
              <a:schemeClr val="bg1"/>
            </a:solidFill>
          </a:endParaRPr>
        </a:p>
      </xdr:txBody>
    </xdr:sp>
    <xdr:clientData/>
  </xdr:twoCellAnchor>
  <xdr:twoCellAnchor>
    <xdr:from>
      <xdr:col>2</xdr:col>
      <xdr:colOff>47625</xdr:colOff>
      <xdr:row>8</xdr:row>
      <xdr:rowOff>133350</xdr:rowOff>
    </xdr:from>
    <xdr:to>
      <xdr:col>3</xdr:col>
      <xdr:colOff>619125</xdr:colOff>
      <xdr:row>13</xdr:row>
      <xdr:rowOff>104775</xdr:rowOff>
    </xdr:to>
    <xdr:sp macro="" textlink="Pivot!B4">
      <xdr:nvSpPr>
        <xdr:cNvPr id="8" name="Rectangle 7">
          <a:extLst>
            <a:ext uri="{FF2B5EF4-FFF2-40B4-BE49-F238E27FC236}">
              <a16:creationId xmlns:a16="http://schemas.microsoft.com/office/drawing/2014/main" id="{D77F7996-E62A-4BB6-B762-7B47F5DD9DB8}"/>
            </a:ext>
          </a:extLst>
        </xdr:cNvPr>
        <xdr:cNvSpPr/>
      </xdr:nvSpPr>
      <xdr:spPr>
        <a:xfrm>
          <a:off x="504825" y="1657350"/>
          <a:ext cx="1257300" cy="9239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C584E2-9FD9-4421-8A10-3D44B13E3ED5}" type="TxLink">
            <a:rPr lang="en-US" sz="2400" b="1" i="0" u="none" strike="noStrike">
              <a:solidFill>
                <a:schemeClr val="bg1"/>
              </a:solidFill>
              <a:latin typeface="Aptos"/>
              <a:ea typeface="+mn-ea"/>
              <a:cs typeface="+mn-cs"/>
            </a:rPr>
            <a:pPr marL="0" indent="0" algn="ctr"/>
            <a:t>$96,623</a:t>
          </a:fld>
          <a:endParaRPr lang="en-US" sz="2400" b="1" i="0" u="none" strike="noStrike">
            <a:solidFill>
              <a:schemeClr val="bg1"/>
            </a:solidFill>
            <a:latin typeface="Aptos"/>
            <a:ea typeface="+mn-ea"/>
            <a:cs typeface="+mn-cs"/>
          </a:endParaRPr>
        </a:p>
      </xdr:txBody>
    </xdr:sp>
    <xdr:clientData/>
  </xdr:twoCellAnchor>
  <xdr:twoCellAnchor>
    <xdr:from>
      <xdr:col>2</xdr:col>
      <xdr:colOff>161925</xdr:colOff>
      <xdr:row>8</xdr:row>
      <xdr:rowOff>152401</xdr:rowOff>
    </xdr:from>
    <xdr:to>
      <xdr:col>3</xdr:col>
      <xdr:colOff>504825</xdr:colOff>
      <xdr:row>10</xdr:row>
      <xdr:rowOff>76201</xdr:rowOff>
    </xdr:to>
    <xdr:sp macro="" textlink="">
      <xdr:nvSpPr>
        <xdr:cNvPr id="9" name="TextBox 8">
          <a:extLst>
            <a:ext uri="{FF2B5EF4-FFF2-40B4-BE49-F238E27FC236}">
              <a16:creationId xmlns:a16="http://schemas.microsoft.com/office/drawing/2014/main" id="{6D8E6BEA-6EE4-478B-AF92-B3FC7DF29A2B}"/>
            </a:ext>
          </a:extLst>
        </xdr:cNvPr>
        <xdr:cNvSpPr txBox="1"/>
      </xdr:nvSpPr>
      <xdr:spPr>
        <a:xfrm>
          <a:off x="619125" y="1676401"/>
          <a:ext cx="1028700"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Amount</a:t>
          </a:r>
        </a:p>
        <a:p>
          <a:endParaRPr lang="en-US" sz="1100"/>
        </a:p>
      </xdr:txBody>
    </xdr:sp>
    <xdr:clientData/>
  </xdr:twoCellAnchor>
  <xdr:twoCellAnchor>
    <xdr:from>
      <xdr:col>2</xdr:col>
      <xdr:colOff>257175</xdr:colOff>
      <xdr:row>12</xdr:row>
      <xdr:rowOff>19051</xdr:rowOff>
    </xdr:from>
    <xdr:to>
      <xdr:col>3</xdr:col>
      <xdr:colOff>447675</xdr:colOff>
      <xdr:row>13</xdr:row>
      <xdr:rowOff>28576</xdr:rowOff>
    </xdr:to>
    <xdr:sp macro="" textlink="Pivot!B8">
      <xdr:nvSpPr>
        <xdr:cNvPr id="11" name="TextBox 10">
          <a:extLst>
            <a:ext uri="{FF2B5EF4-FFF2-40B4-BE49-F238E27FC236}">
              <a16:creationId xmlns:a16="http://schemas.microsoft.com/office/drawing/2014/main" id="{CF1F6FEF-8280-4F20-A769-33177E7FD1E8}"/>
            </a:ext>
          </a:extLst>
        </xdr:cNvPr>
        <xdr:cNvSpPr txBox="1"/>
      </xdr:nvSpPr>
      <xdr:spPr>
        <a:xfrm>
          <a:off x="714375" y="2305051"/>
          <a:ext cx="876300" cy="2000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9D3699-C3B7-43D2-9514-8F41A25D4C6E}" type="TxLink">
            <a:rPr lang="en-US" sz="1100" b="0" i="0" u="none" strike="noStrike">
              <a:solidFill>
                <a:schemeClr val="bg1"/>
              </a:solidFill>
              <a:latin typeface="Aptos"/>
            </a:rPr>
            <a:pPr algn="ctr"/>
            <a:t>$18,415</a:t>
          </a:fld>
          <a:endParaRPr lang="en-US" sz="1100">
            <a:solidFill>
              <a:schemeClr val="bg1"/>
            </a:solidFill>
          </a:endParaRPr>
        </a:p>
      </xdr:txBody>
    </xdr:sp>
    <xdr:clientData/>
  </xdr:twoCellAnchor>
  <xdr:twoCellAnchor>
    <xdr:from>
      <xdr:col>2</xdr:col>
      <xdr:colOff>76200</xdr:colOff>
      <xdr:row>26</xdr:row>
      <xdr:rowOff>9525</xdr:rowOff>
    </xdr:from>
    <xdr:to>
      <xdr:col>3</xdr:col>
      <xdr:colOff>647700</xdr:colOff>
      <xdr:row>30</xdr:row>
      <xdr:rowOff>171450</xdr:rowOff>
    </xdr:to>
    <xdr:sp macro="" textlink="Pivot!E4">
      <xdr:nvSpPr>
        <xdr:cNvPr id="16" name="Rectangle 15">
          <a:extLst>
            <a:ext uri="{FF2B5EF4-FFF2-40B4-BE49-F238E27FC236}">
              <a16:creationId xmlns:a16="http://schemas.microsoft.com/office/drawing/2014/main" id="{8EACCC3A-A98E-4F0B-A380-505E06DE4CAE}"/>
            </a:ext>
          </a:extLst>
        </xdr:cNvPr>
        <xdr:cNvSpPr/>
      </xdr:nvSpPr>
      <xdr:spPr>
        <a:xfrm>
          <a:off x="533400" y="4962525"/>
          <a:ext cx="1257300" cy="9239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6F0D543-58DC-4896-8A9F-C7790BC23A88}" type="TxLink">
            <a:rPr lang="en-US" sz="2400" b="1" i="0" u="none" strike="noStrike">
              <a:solidFill>
                <a:schemeClr val="bg1"/>
              </a:solidFill>
              <a:latin typeface="Aptos"/>
              <a:ea typeface="+mn-ea"/>
              <a:cs typeface="+mn-cs"/>
            </a:rPr>
            <a:pPr marL="0" indent="0" algn="ctr"/>
            <a:t>307</a:t>
          </a:fld>
          <a:endParaRPr lang="en-US" sz="2400" b="1" i="0" u="none" strike="noStrike">
            <a:solidFill>
              <a:schemeClr val="bg1"/>
            </a:solidFill>
            <a:latin typeface="Aptos"/>
            <a:ea typeface="+mn-ea"/>
            <a:cs typeface="+mn-cs"/>
          </a:endParaRPr>
        </a:p>
      </xdr:txBody>
    </xdr:sp>
    <xdr:clientData/>
  </xdr:twoCellAnchor>
  <xdr:twoCellAnchor>
    <xdr:from>
      <xdr:col>2</xdr:col>
      <xdr:colOff>190499</xdr:colOff>
      <xdr:row>26</xdr:row>
      <xdr:rowOff>9525</xdr:rowOff>
    </xdr:from>
    <xdr:to>
      <xdr:col>3</xdr:col>
      <xdr:colOff>600074</xdr:colOff>
      <xdr:row>27</xdr:row>
      <xdr:rowOff>66675</xdr:rowOff>
    </xdr:to>
    <xdr:sp macro="" textlink="">
      <xdr:nvSpPr>
        <xdr:cNvPr id="17" name="TextBox 16">
          <a:extLst>
            <a:ext uri="{FF2B5EF4-FFF2-40B4-BE49-F238E27FC236}">
              <a16:creationId xmlns:a16="http://schemas.microsoft.com/office/drawing/2014/main" id="{027F3264-94B3-4E5C-BB59-A063C50884AE}"/>
            </a:ext>
          </a:extLst>
        </xdr:cNvPr>
        <xdr:cNvSpPr txBox="1"/>
      </xdr:nvSpPr>
      <xdr:spPr>
        <a:xfrm>
          <a:off x="647699" y="4962525"/>
          <a:ext cx="1095375"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rPr>
            <a:t>Happy</a:t>
          </a:r>
          <a:r>
            <a:rPr lang="en-US" sz="1100" b="1" baseline="0">
              <a:solidFill>
                <a:schemeClr val="bg1"/>
              </a:solidFill>
            </a:rPr>
            <a:t> Callers</a:t>
          </a:r>
          <a:endParaRPr lang="en-US" sz="1100" b="1">
            <a:solidFill>
              <a:schemeClr val="bg1"/>
            </a:solidFill>
          </a:endParaRPr>
        </a:p>
        <a:p>
          <a:endParaRPr lang="en-US" sz="1100"/>
        </a:p>
      </xdr:txBody>
    </xdr:sp>
    <xdr:clientData/>
  </xdr:twoCellAnchor>
  <xdr:twoCellAnchor>
    <xdr:from>
      <xdr:col>2</xdr:col>
      <xdr:colOff>285750</xdr:colOff>
      <xdr:row>29</xdr:row>
      <xdr:rowOff>85726</xdr:rowOff>
    </xdr:from>
    <xdr:to>
      <xdr:col>3</xdr:col>
      <xdr:colOff>476250</xdr:colOff>
      <xdr:row>30</xdr:row>
      <xdr:rowOff>95251</xdr:rowOff>
    </xdr:to>
    <xdr:sp macro="" textlink="Pivot!E8">
      <xdr:nvSpPr>
        <xdr:cNvPr id="19" name="TextBox 18">
          <a:extLst>
            <a:ext uri="{FF2B5EF4-FFF2-40B4-BE49-F238E27FC236}">
              <a16:creationId xmlns:a16="http://schemas.microsoft.com/office/drawing/2014/main" id="{E56F91D7-34C4-4F68-A698-E914D0CC1A4D}"/>
            </a:ext>
          </a:extLst>
        </xdr:cNvPr>
        <xdr:cNvSpPr txBox="1"/>
      </xdr:nvSpPr>
      <xdr:spPr>
        <a:xfrm>
          <a:off x="742950" y="5610226"/>
          <a:ext cx="876300" cy="2000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3BDBEA-E638-4271-892D-CE24D4B1E33A}" type="TxLink">
            <a:rPr lang="en-US" sz="1100" b="0" i="0" u="none" strike="noStrike">
              <a:solidFill>
                <a:schemeClr val="bg1"/>
              </a:solidFill>
              <a:latin typeface="Aptos"/>
            </a:rPr>
            <a:pPr algn="ctr"/>
            <a:t>60</a:t>
          </a:fld>
          <a:endParaRPr lang="en-US" sz="1100">
            <a:solidFill>
              <a:schemeClr val="bg1"/>
            </a:solidFill>
          </a:endParaRPr>
        </a:p>
      </xdr:txBody>
    </xdr:sp>
    <xdr:clientData/>
  </xdr:twoCellAnchor>
  <xdr:twoCellAnchor>
    <xdr:from>
      <xdr:col>2</xdr:col>
      <xdr:colOff>76200</xdr:colOff>
      <xdr:row>20</xdr:row>
      <xdr:rowOff>47625</xdr:rowOff>
    </xdr:from>
    <xdr:to>
      <xdr:col>3</xdr:col>
      <xdr:colOff>647700</xdr:colOff>
      <xdr:row>25</xdr:row>
      <xdr:rowOff>19050</xdr:rowOff>
    </xdr:to>
    <xdr:sp macro="" textlink="Pivot!D4">
      <xdr:nvSpPr>
        <xdr:cNvPr id="20" name="Rectangle 19">
          <a:extLst>
            <a:ext uri="{FF2B5EF4-FFF2-40B4-BE49-F238E27FC236}">
              <a16:creationId xmlns:a16="http://schemas.microsoft.com/office/drawing/2014/main" id="{C6C0C641-8700-4757-9579-C17C3A4B0923}"/>
            </a:ext>
          </a:extLst>
        </xdr:cNvPr>
        <xdr:cNvSpPr/>
      </xdr:nvSpPr>
      <xdr:spPr>
        <a:xfrm>
          <a:off x="533400" y="3857625"/>
          <a:ext cx="1257300" cy="9239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2BE49E4-4E0C-45D5-9A5C-7CAEE9FFB3B2}" type="TxLink">
            <a:rPr lang="en-US" sz="2400" b="1" i="0" u="none" strike="noStrike">
              <a:solidFill>
                <a:schemeClr val="bg1"/>
              </a:solidFill>
              <a:latin typeface="Aptos"/>
              <a:ea typeface="+mn-ea"/>
              <a:cs typeface="+mn-cs"/>
            </a:rPr>
            <a:pPr marL="0" indent="0" algn="ctr"/>
            <a:t>3.9</a:t>
          </a:fld>
          <a:endParaRPr lang="en-US" sz="2400" b="1" i="0" u="none" strike="noStrike">
            <a:solidFill>
              <a:schemeClr val="bg1"/>
            </a:solidFill>
            <a:latin typeface="Aptos"/>
            <a:ea typeface="+mn-ea"/>
            <a:cs typeface="+mn-cs"/>
          </a:endParaRPr>
        </a:p>
      </xdr:txBody>
    </xdr:sp>
    <xdr:clientData/>
  </xdr:twoCellAnchor>
  <xdr:twoCellAnchor>
    <xdr:from>
      <xdr:col>2</xdr:col>
      <xdr:colOff>190500</xdr:colOff>
      <xdr:row>20</xdr:row>
      <xdr:rowOff>66676</xdr:rowOff>
    </xdr:from>
    <xdr:to>
      <xdr:col>3</xdr:col>
      <xdr:colOff>533400</xdr:colOff>
      <xdr:row>21</xdr:row>
      <xdr:rowOff>180976</xdr:rowOff>
    </xdr:to>
    <xdr:sp macro="" textlink="">
      <xdr:nvSpPr>
        <xdr:cNvPr id="21" name="TextBox 20">
          <a:extLst>
            <a:ext uri="{FF2B5EF4-FFF2-40B4-BE49-F238E27FC236}">
              <a16:creationId xmlns:a16="http://schemas.microsoft.com/office/drawing/2014/main" id="{FBD87F94-35B2-4D66-9267-ECACFA8363BD}"/>
            </a:ext>
          </a:extLst>
        </xdr:cNvPr>
        <xdr:cNvSpPr txBox="1"/>
      </xdr:nvSpPr>
      <xdr:spPr>
        <a:xfrm>
          <a:off x="647700" y="3876676"/>
          <a:ext cx="1028700"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en-US" sz="1100" b="1" baseline="0">
              <a:solidFill>
                <a:schemeClr val="bg1"/>
              </a:solidFill>
            </a:rPr>
            <a:t> </a:t>
          </a:r>
          <a:r>
            <a:rPr lang="en-US" sz="1050" b="1" baseline="0">
              <a:solidFill>
                <a:schemeClr val="bg1"/>
              </a:solidFill>
            </a:rPr>
            <a:t>Rating</a:t>
          </a:r>
          <a:endParaRPr lang="en-US" sz="1050" b="1">
            <a:solidFill>
              <a:schemeClr val="bg1"/>
            </a:solidFill>
          </a:endParaRPr>
        </a:p>
        <a:p>
          <a:endParaRPr lang="en-US" sz="1100"/>
        </a:p>
      </xdr:txBody>
    </xdr:sp>
    <xdr:clientData/>
  </xdr:twoCellAnchor>
  <xdr:twoCellAnchor>
    <xdr:from>
      <xdr:col>2</xdr:col>
      <xdr:colOff>285750</xdr:colOff>
      <xdr:row>23</xdr:row>
      <xdr:rowOff>123826</xdr:rowOff>
    </xdr:from>
    <xdr:to>
      <xdr:col>3</xdr:col>
      <xdr:colOff>476250</xdr:colOff>
      <xdr:row>24</xdr:row>
      <xdr:rowOff>133351</xdr:rowOff>
    </xdr:to>
    <xdr:sp macro="" textlink="Pivot!D8">
      <xdr:nvSpPr>
        <xdr:cNvPr id="23" name="TextBox 22">
          <a:extLst>
            <a:ext uri="{FF2B5EF4-FFF2-40B4-BE49-F238E27FC236}">
              <a16:creationId xmlns:a16="http://schemas.microsoft.com/office/drawing/2014/main" id="{1B2F6C35-F5F3-4DDB-89DE-4D34371836F3}"/>
            </a:ext>
          </a:extLst>
        </xdr:cNvPr>
        <xdr:cNvSpPr txBox="1"/>
      </xdr:nvSpPr>
      <xdr:spPr>
        <a:xfrm>
          <a:off x="742950" y="4505326"/>
          <a:ext cx="876300" cy="2000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DD747D-D41F-4514-8926-4D732501C633}" type="TxLink">
            <a:rPr lang="en-US" sz="1100" b="0" i="0" u="none" strike="noStrike">
              <a:solidFill>
                <a:schemeClr val="bg1"/>
              </a:solidFill>
              <a:latin typeface="Aptos"/>
            </a:rPr>
            <a:pPr algn="ctr"/>
            <a:t>3.9</a:t>
          </a:fld>
          <a:endParaRPr lang="en-US" sz="1100">
            <a:solidFill>
              <a:schemeClr val="bg1"/>
            </a:solidFill>
          </a:endParaRPr>
        </a:p>
      </xdr:txBody>
    </xdr:sp>
    <xdr:clientData/>
  </xdr:twoCellAnchor>
  <xdr:twoCellAnchor>
    <xdr:from>
      <xdr:col>2</xdr:col>
      <xdr:colOff>57150</xdr:colOff>
      <xdr:row>14</xdr:row>
      <xdr:rowOff>85725</xdr:rowOff>
    </xdr:from>
    <xdr:to>
      <xdr:col>3</xdr:col>
      <xdr:colOff>628650</xdr:colOff>
      <xdr:row>19</xdr:row>
      <xdr:rowOff>57150</xdr:rowOff>
    </xdr:to>
    <xdr:sp macro="" textlink="Pivot!C4">
      <xdr:nvSpPr>
        <xdr:cNvPr id="24" name="Rectangle 23">
          <a:extLst>
            <a:ext uri="{FF2B5EF4-FFF2-40B4-BE49-F238E27FC236}">
              <a16:creationId xmlns:a16="http://schemas.microsoft.com/office/drawing/2014/main" id="{EDD0ED14-75AC-4580-B31D-06CD25E321BF}"/>
            </a:ext>
          </a:extLst>
        </xdr:cNvPr>
        <xdr:cNvSpPr/>
      </xdr:nvSpPr>
      <xdr:spPr>
        <a:xfrm>
          <a:off x="514350" y="2752725"/>
          <a:ext cx="1257300" cy="9239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1DEA5DA-AE64-4DD9-8FD8-07474CEB7905}" type="TxLink">
            <a:rPr lang="en-US" sz="2400" b="1" i="0" u="none" strike="noStrike">
              <a:solidFill>
                <a:schemeClr val="bg1"/>
              </a:solidFill>
              <a:latin typeface="Aptos"/>
              <a:ea typeface="+mn-ea"/>
              <a:cs typeface="+mn-cs"/>
            </a:rPr>
            <a:pPr marL="0" indent="0" algn="ctr"/>
            <a:t>89,850</a:t>
          </a:fld>
          <a:endParaRPr lang="en-US" sz="2400" b="1" i="0" u="none" strike="noStrike">
            <a:solidFill>
              <a:schemeClr val="bg1"/>
            </a:solidFill>
            <a:latin typeface="Aptos"/>
            <a:ea typeface="+mn-ea"/>
            <a:cs typeface="+mn-cs"/>
          </a:endParaRPr>
        </a:p>
      </xdr:txBody>
    </xdr:sp>
    <xdr:clientData/>
  </xdr:twoCellAnchor>
  <xdr:twoCellAnchor>
    <xdr:from>
      <xdr:col>2</xdr:col>
      <xdr:colOff>171450</xdr:colOff>
      <xdr:row>14</xdr:row>
      <xdr:rowOff>104776</xdr:rowOff>
    </xdr:from>
    <xdr:to>
      <xdr:col>3</xdr:col>
      <xdr:colOff>514350</xdr:colOff>
      <xdr:row>16</xdr:row>
      <xdr:rowOff>28576</xdr:rowOff>
    </xdr:to>
    <xdr:sp macro="" textlink="">
      <xdr:nvSpPr>
        <xdr:cNvPr id="25" name="TextBox 24">
          <a:extLst>
            <a:ext uri="{FF2B5EF4-FFF2-40B4-BE49-F238E27FC236}">
              <a16:creationId xmlns:a16="http://schemas.microsoft.com/office/drawing/2014/main" id="{CB0FB56F-113A-4A28-AB19-BA4694E315DE}"/>
            </a:ext>
          </a:extLst>
        </xdr:cNvPr>
        <xdr:cNvSpPr txBox="1"/>
      </xdr:nvSpPr>
      <xdr:spPr>
        <a:xfrm>
          <a:off x="628650" y="2771776"/>
          <a:ext cx="1028700"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Duration</a:t>
          </a:r>
        </a:p>
        <a:p>
          <a:endParaRPr lang="en-US" sz="1100"/>
        </a:p>
      </xdr:txBody>
    </xdr:sp>
    <xdr:clientData/>
  </xdr:twoCellAnchor>
  <xdr:twoCellAnchor>
    <xdr:from>
      <xdr:col>2</xdr:col>
      <xdr:colOff>266700</xdr:colOff>
      <xdr:row>17</xdr:row>
      <xdr:rowOff>161926</xdr:rowOff>
    </xdr:from>
    <xdr:to>
      <xdr:col>3</xdr:col>
      <xdr:colOff>457200</xdr:colOff>
      <xdr:row>18</xdr:row>
      <xdr:rowOff>171451</xdr:rowOff>
    </xdr:to>
    <xdr:sp macro="" textlink="Pivot!C8">
      <xdr:nvSpPr>
        <xdr:cNvPr id="27" name="TextBox 26">
          <a:extLst>
            <a:ext uri="{FF2B5EF4-FFF2-40B4-BE49-F238E27FC236}">
              <a16:creationId xmlns:a16="http://schemas.microsoft.com/office/drawing/2014/main" id="{FC089A4C-9C1B-48E3-B1D3-E088BA583D5A}"/>
            </a:ext>
          </a:extLst>
        </xdr:cNvPr>
        <xdr:cNvSpPr txBox="1"/>
      </xdr:nvSpPr>
      <xdr:spPr>
        <a:xfrm>
          <a:off x="723900" y="3400426"/>
          <a:ext cx="876300" cy="2000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54D3B2-DABC-4819-A0FA-DABF44B509BD}" type="TxLink">
            <a:rPr lang="en-US" sz="1100" b="0" i="0" u="none" strike="noStrike">
              <a:solidFill>
                <a:schemeClr val="bg1"/>
              </a:solidFill>
              <a:latin typeface="Aptos"/>
            </a:rPr>
            <a:pPr algn="ctr"/>
            <a:t>16,834</a:t>
          </a:fld>
          <a:endParaRPr lang="en-US" sz="1100">
            <a:solidFill>
              <a:schemeClr val="bg1"/>
            </a:solidFill>
          </a:endParaRPr>
        </a:p>
      </xdr:txBody>
    </xdr:sp>
    <xdr:clientData/>
  </xdr:twoCellAnchor>
  <xdr:twoCellAnchor editAs="oneCell">
    <xdr:from>
      <xdr:col>2</xdr:col>
      <xdr:colOff>95250</xdr:colOff>
      <xdr:row>8</xdr:row>
      <xdr:rowOff>171450</xdr:rowOff>
    </xdr:from>
    <xdr:to>
      <xdr:col>2</xdr:col>
      <xdr:colOff>323850</xdr:colOff>
      <xdr:row>10</xdr:row>
      <xdr:rowOff>19050</xdr:rowOff>
    </xdr:to>
    <xdr:pic>
      <xdr:nvPicPr>
        <xdr:cNvPr id="29" name="Graphic 28" descr="Shopping cart with solid fill">
          <a:extLst>
            <a:ext uri="{FF2B5EF4-FFF2-40B4-BE49-F238E27FC236}">
              <a16:creationId xmlns:a16="http://schemas.microsoft.com/office/drawing/2014/main" id="{7E395F92-91A5-4AA8-8634-57AF166807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2450" y="1695450"/>
          <a:ext cx="228600" cy="228600"/>
        </a:xfrm>
        <a:prstGeom prst="rect">
          <a:avLst/>
        </a:prstGeom>
      </xdr:spPr>
    </xdr:pic>
    <xdr:clientData/>
  </xdr:twoCellAnchor>
  <xdr:twoCellAnchor editAs="oneCell">
    <xdr:from>
      <xdr:col>2</xdr:col>
      <xdr:colOff>104774</xdr:colOff>
      <xdr:row>14</xdr:row>
      <xdr:rowOff>142875</xdr:rowOff>
    </xdr:from>
    <xdr:to>
      <xdr:col>2</xdr:col>
      <xdr:colOff>295274</xdr:colOff>
      <xdr:row>15</xdr:row>
      <xdr:rowOff>142875</xdr:rowOff>
    </xdr:to>
    <xdr:pic>
      <xdr:nvPicPr>
        <xdr:cNvPr id="30" name="Graphic 29" descr="Hourglass Finished with solid fill">
          <a:extLst>
            <a:ext uri="{FF2B5EF4-FFF2-40B4-BE49-F238E27FC236}">
              <a16:creationId xmlns:a16="http://schemas.microsoft.com/office/drawing/2014/main" id="{235F6F18-39D4-49E1-AC3B-EA85102C3B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561974" y="2809875"/>
          <a:ext cx="190500" cy="190500"/>
        </a:xfrm>
        <a:prstGeom prst="rect">
          <a:avLst/>
        </a:prstGeom>
      </xdr:spPr>
    </xdr:pic>
    <xdr:clientData/>
  </xdr:twoCellAnchor>
  <xdr:twoCellAnchor editAs="oneCell">
    <xdr:from>
      <xdr:col>2</xdr:col>
      <xdr:colOff>95250</xdr:colOff>
      <xdr:row>20</xdr:row>
      <xdr:rowOff>57150</xdr:rowOff>
    </xdr:from>
    <xdr:to>
      <xdr:col>2</xdr:col>
      <xdr:colOff>333375</xdr:colOff>
      <xdr:row>21</xdr:row>
      <xdr:rowOff>104775</xdr:rowOff>
    </xdr:to>
    <xdr:pic>
      <xdr:nvPicPr>
        <xdr:cNvPr id="31" name="Graphic 30" descr="Rating Star with solid fill">
          <a:extLst>
            <a:ext uri="{FF2B5EF4-FFF2-40B4-BE49-F238E27FC236}">
              <a16:creationId xmlns:a16="http://schemas.microsoft.com/office/drawing/2014/main" id="{B7A605EF-ED39-4A81-B4BA-F18190DFD5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52450" y="3867150"/>
          <a:ext cx="238125" cy="238125"/>
        </a:xfrm>
        <a:prstGeom prst="rect">
          <a:avLst/>
        </a:prstGeom>
      </xdr:spPr>
    </xdr:pic>
    <xdr:clientData/>
  </xdr:twoCellAnchor>
  <xdr:twoCellAnchor editAs="oneCell">
    <xdr:from>
      <xdr:col>9</xdr:col>
      <xdr:colOff>457199</xdr:colOff>
      <xdr:row>15</xdr:row>
      <xdr:rowOff>142875</xdr:rowOff>
    </xdr:from>
    <xdr:to>
      <xdr:col>11</xdr:col>
      <xdr:colOff>257174</xdr:colOff>
      <xdr:row>25</xdr:row>
      <xdr:rowOff>57150</xdr:rowOff>
    </xdr:to>
    <mc:AlternateContent xmlns:mc="http://schemas.openxmlformats.org/markup-compatibility/2006" xmlns:a14="http://schemas.microsoft.com/office/drawing/2010/main">
      <mc:Choice Requires="a14">
        <xdr:graphicFrame macro="">
          <xdr:nvGraphicFramePr>
            <xdr:cNvPr id="34" name="Representative 1">
              <a:extLst>
                <a:ext uri="{FF2B5EF4-FFF2-40B4-BE49-F238E27FC236}">
                  <a16:creationId xmlns:a16="http://schemas.microsoft.com/office/drawing/2014/main" id="{C4FA0036-7ABA-4AE1-B3BD-264D5E8F9C5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714999" y="3000375"/>
              <a:ext cx="1171575"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26</xdr:row>
      <xdr:rowOff>38100</xdr:rowOff>
    </xdr:from>
    <xdr:to>
      <xdr:col>2</xdr:col>
      <xdr:colOff>314325</xdr:colOff>
      <xdr:row>27</xdr:row>
      <xdr:rowOff>85725</xdr:rowOff>
    </xdr:to>
    <xdr:pic>
      <xdr:nvPicPr>
        <xdr:cNvPr id="33" name="Graphic 32" descr="Star-struck face outline with solid fill">
          <a:extLst>
            <a:ext uri="{FF2B5EF4-FFF2-40B4-BE49-F238E27FC236}">
              <a16:creationId xmlns:a16="http://schemas.microsoft.com/office/drawing/2014/main" id="{1FDAA21C-AD5B-43B7-B76F-20C26A3858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3400" y="4991100"/>
          <a:ext cx="238125" cy="238125"/>
        </a:xfrm>
        <a:prstGeom prst="rect">
          <a:avLst/>
        </a:prstGeom>
      </xdr:spPr>
    </xdr:pic>
    <xdr:clientData/>
  </xdr:twoCellAnchor>
  <xdr:twoCellAnchor>
    <xdr:from>
      <xdr:col>9</xdr:col>
      <xdr:colOff>400051</xdr:colOff>
      <xdr:row>4</xdr:row>
      <xdr:rowOff>19050</xdr:rowOff>
    </xdr:from>
    <xdr:to>
      <xdr:col>11</xdr:col>
      <xdr:colOff>581025</xdr:colOff>
      <xdr:row>11</xdr:row>
      <xdr:rowOff>152400</xdr:rowOff>
    </xdr:to>
    <xdr:graphicFrame macro="">
      <xdr:nvGraphicFramePr>
        <xdr:cNvPr id="38" name="Chart 37">
          <a:extLst>
            <a:ext uri="{FF2B5EF4-FFF2-40B4-BE49-F238E27FC236}">
              <a16:creationId xmlns:a16="http://schemas.microsoft.com/office/drawing/2014/main" id="{5DC509C9-7738-4F27-AD4A-C556C00C7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85725</xdr:colOff>
      <xdr:row>2</xdr:row>
      <xdr:rowOff>152400</xdr:rowOff>
    </xdr:from>
    <xdr:to>
      <xdr:col>9</xdr:col>
      <xdr:colOff>457200</xdr:colOff>
      <xdr:row>13</xdr:row>
      <xdr:rowOff>76200</xdr:rowOff>
    </xdr:to>
    <xdr:graphicFrame macro="">
      <xdr:nvGraphicFramePr>
        <xdr:cNvPr id="36" name="Chart 35">
          <a:extLst>
            <a:ext uri="{FF2B5EF4-FFF2-40B4-BE49-F238E27FC236}">
              <a16:creationId xmlns:a16="http://schemas.microsoft.com/office/drawing/2014/main" id="{2862B62D-B07B-4D1B-9460-7CDF5D45D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514351</xdr:colOff>
      <xdr:row>14</xdr:row>
      <xdr:rowOff>161925</xdr:rowOff>
    </xdr:from>
    <xdr:to>
      <xdr:col>9</xdr:col>
      <xdr:colOff>495301</xdr:colOff>
      <xdr:row>29</xdr:row>
      <xdr:rowOff>61912</xdr:rowOff>
    </xdr:to>
    <xdr:graphicFrame macro="">
      <xdr:nvGraphicFramePr>
        <xdr:cNvPr id="39" name="Chart 38">
          <a:extLst>
            <a:ext uri="{FF2B5EF4-FFF2-40B4-BE49-F238E27FC236}">
              <a16:creationId xmlns:a16="http://schemas.microsoft.com/office/drawing/2014/main" id="{4113716C-351B-483D-ACA0-7F8FE32B0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85725</xdr:colOff>
      <xdr:row>14</xdr:row>
      <xdr:rowOff>171450</xdr:rowOff>
    </xdr:from>
    <xdr:to>
      <xdr:col>6</xdr:col>
      <xdr:colOff>581025</xdr:colOff>
      <xdr:row>29</xdr:row>
      <xdr:rowOff>57150</xdr:rowOff>
    </xdr:to>
    <xdr:graphicFrame macro="">
      <xdr:nvGraphicFramePr>
        <xdr:cNvPr id="40" name="Chart 39">
          <a:extLst>
            <a:ext uri="{FF2B5EF4-FFF2-40B4-BE49-F238E27FC236}">
              <a16:creationId xmlns:a16="http://schemas.microsoft.com/office/drawing/2014/main" id="{7BB6F2C4-6F3D-4406-B945-648D8E753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676275</xdr:colOff>
      <xdr:row>2</xdr:row>
      <xdr:rowOff>123824</xdr:rowOff>
    </xdr:from>
    <xdr:to>
      <xdr:col>15</xdr:col>
      <xdr:colOff>504824</xdr:colOff>
      <xdr:row>13</xdr:row>
      <xdr:rowOff>171449</xdr:rowOff>
    </xdr:to>
    <xdr:graphicFrame macro="">
      <xdr:nvGraphicFramePr>
        <xdr:cNvPr id="42" name="Chart 41">
          <a:extLst>
            <a:ext uri="{FF2B5EF4-FFF2-40B4-BE49-F238E27FC236}">
              <a16:creationId xmlns:a16="http://schemas.microsoft.com/office/drawing/2014/main" id="{D14BB20E-C588-4FF2-8B76-9A66BDB85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581025</xdr:colOff>
      <xdr:row>2</xdr:row>
      <xdr:rowOff>133350</xdr:rowOff>
    </xdr:from>
    <xdr:to>
      <xdr:col>19</xdr:col>
      <xdr:colOff>419100</xdr:colOff>
      <xdr:row>13</xdr:row>
      <xdr:rowOff>171450</xdr:rowOff>
    </xdr:to>
    <xdr:graphicFrame macro="">
      <xdr:nvGraphicFramePr>
        <xdr:cNvPr id="45" name="Chart 44">
          <a:extLst>
            <a:ext uri="{FF2B5EF4-FFF2-40B4-BE49-F238E27FC236}">
              <a16:creationId xmlns:a16="http://schemas.microsoft.com/office/drawing/2014/main" id="{A5A3C047-0A4C-46A1-82C8-A49B9F5B8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960783</xdr:colOff>
      <xdr:row>2</xdr:row>
      <xdr:rowOff>318154</xdr:rowOff>
    </xdr:from>
    <xdr:to>
      <xdr:col>15</xdr:col>
      <xdr:colOff>63777</xdr:colOff>
      <xdr:row>33</xdr:row>
      <xdr:rowOff>17495</xdr:rowOff>
    </xdr:to>
    <xdr:pic>
      <xdr:nvPicPr>
        <xdr:cNvPr id="9" name="Picture 8">
          <a:extLst>
            <a:ext uri="{FF2B5EF4-FFF2-40B4-BE49-F238E27FC236}">
              <a16:creationId xmlns:a16="http://schemas.microsoft.com/office/drawing/2014/main" id="{EE05F64C-A423-E495-E906-4742997EEF0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2283" t="-616" r="-767358" b="-684375"/>
        <a:stretch/>
      </xdr:blipFill>
      <xdr:spPr>
        <a:xfrm>
          <a:off x="4538870" y="699154"/>
          <a:ext cx="6267450" cy="62674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29.941209837962" backgroundQuery="1" createdVersion="8" refreshedVersion="8" minRefreshableVersion="3" recordCount="0" supportSubquery="1" supportAdvancedDrill="1" xr:uid="{FD3A1893-3D77-4423-91A6-70B9134CB02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29.955397337966" backgroundQuery="1" createdVersion="8" refreshedVersion="8" minRefreshableVersion="3" recordCount="0" supportSubquery="1" supportAdvancedDrill="1" xr:uid="{997DD0C6-AD47-4591-A097-CD111FB0DFB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29.984402083333" backgroundQuery="1" createdVersion="8" refreshedVersion="8" minRefreshableVersion="3" recordCount="0" supportSubquery="1" supportAdvancedDrill="1" xr:uid="{E82B811E-0DEF-436A-AACE-C35F288B04C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0.011417824076" backgroundQuery="1" createdVersion="8" refreshedVersion="8" minRefreshableVersion="3" recordCount="0" supportSubquery="1" supportAdvancedDrill="1" xr:uid="{8D957F09-33E1-4CA0-81ED-41F57002D690}">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6.844152546299" backgroundQuery="1" createdVersion="8" refreshedVersion="8" minRefreshableVersion="3" recordCount="0" supportSubquery="1" supportAdvancedDrill="1" xr:uid="{D9A01A8E-E7F5-46D0-9723-2BE77C003416}">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6.844153356484" backgroundQuery="1" createdVersion="8" refreshedVersion="8" minRefreshableVersion="3" recordCount="0" supportSubquery="1" supportAdvancedDrill="1" xr:uid="{073DF39F-337C-4F1C-AF6E-7B79B6BB9819}">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6.844153935184" backgroundQuery="1" createdVersion="8" refreshedVersion="8" minRefreshableVersion="3" recordCount="0" supportSubquery="1" supportAdvancedDrill="1" xr:uid="{759200B0-52F0-4A56-896F-F8F9F998EEC6}">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6.844154513892" backgroundQuery="1" createdVersion="8" refreshedVersion="8" minRefreshableVersion="3" recordCount="0" supportSubquery="1" supportAdvancedDrill="1" xr:uid="{CC2AF523-1141-45BE-8259-1166B2336B63}">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36.844155208331" backgroundQuery="1" createdVersion="8" refreshedVersion="8" minRefreshableVersion="3" recordCount="0" supportSubquery="1" supportAdvancedDrill="1" xr:uid="{C2665ED8-AC71-415D-BD27-D4C3B5D9DF7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hongade" refreshedDate="45729.941203703704" backgroundQuery="1" createdVersion="3" refreshedVersion="8" minRefreshableVersion="3" recordCount="0" supportSubquery="1" supportAdvancedDrill="1" xr:uid="{0A9D4BCB-F803-4C8E-98F6-868CDFEC331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6822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858AB-0217-4FA1-8B05-F7F04B464392}" name="Monthly Trend"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0:C23"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C29EAC-FAFF-420E-BF76-583587048DB2}"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A9E5E-41BB-4BD9-9086-A7BF2A2B305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0:J4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399E30-A9AF-4770-A95E-76162902C664}" name="Weekday Trend"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E10:F1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B44B0-58BA-441E-AB54-985F9F2AD390}"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47:J66"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A99C61-2AB4-487F-A8BB-44A394B33380}" name="rep pivot"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7227B5-1BB7-4BB1-858C-FC78AA270AD0}" name="summary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2D2435-DAA1-4E77-9CC8-9A2E67210FEF}" name="selected rep"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3:A4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2">
    <format dxfId="20">
      <pivotArea dataOnly="0" labelOnly="1" fieldPosition="0">
        <references count="1">
          <reference field="0" count="0"/>
        </references>
      </pivotArea>
    </format>
    <format dxfId="19">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E2D236-FA9B-409E-9EDB-07F2ACC15B98}" name="rep satisfaction"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L40:M4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31D63C9-326B-4665-9759-B6CE5CF5D740}" sourceName="[calls].[Representative]">
  <pivotTables>
    <pivotTable tabId="13" name="rep pivot"/>
    <pivotTable tabId="13" name="Monthly Trend"/>
    <pivotTable tabId="13" name="Weekday Trend"/>
    <pivotTable tabId="13" name="selected rep"/>
    <pivotTable tabId="13" name="rep satisfaction"/>
  </pivotTables>
  <data>
    <olap pivotCacheId="73682280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E9C1276-9369-4C10-8EF4-3F533BE3D5FA}" cache="Slicer_Representative" caption="Representative" level="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D227-1D2F-47CC-9E66-6DF6E4E0B601}">
  <dimension ref="A3:M66"/>
  <sheetViews>
    <sheetView topLeftCell="A30" workbookViewId="0">
      <selection activeCell="N16" sqref="N16:R16"/>
    </sheetView>
  </sheetViews>
  <sheetFormatPr defaultRowHeight="15" x14ac:dyDescent="0.25"/>
  <cols>
    <col min="1" max="1" width="12.625" bestFit="1" customWidth="1"/>
    <col min="2" max="2" width="9.25" bestFit="1" customWidth="1"/>
    <col min="3" max="3" width="10.25" bestFit="1" customWidth="1"/>
    <col min="4" max="4" width="9.75" bestFit="1" customWidth="1"/>
    <col min="5" max="5" width="12.625" bestFit="1" customWidth="1"/>
    <col min="6" max="6" width="9.25" bestFit="1" customWidth="1"/>
    <col min="7" max="9" width="6.375" bestFit="1" customWidth="1"/>
    <col min="10" max="10" width="10.875" bestFit="1" customWidth="1"/>
    <col min="12" max="12" width="12.625" bestFit="1" customWidth="1"/>
    <col min="13" max="13" width="9.25" bestFit="1" customWidth="1"/>
    <col min="14" max="14" width="4.875" bestFit="1" customWidth="1"/>
    <col min="15" max="15" width="12.625" bestFit="1" customWidth="1"/>
    <col min="16" max="16" width="15.875" bestFit="1" customWidth="1"/>
    <col min="17" max="20" width="6.375" bestFit="1" customWidth="1"/>
    <col min="21" max="21" width="10.875" bestFit="1" customWidth="1"/>
  </cols>
  <sheetData>
    <row r="3" spans="1:6" x14ac:dyDescent="0.25">
      <c r="A3" t="s">
        <v>1068</v>
      </c>
      <c r="B3" t="s">
        <v>1069</v>
      </c>
      <c r="C3" t="s">
        <v>1067</v>
      </c>
      <c r="D3" t="s">
        <v>1070</v>
      </c>
      <c r="E3" t="s">
        <v>1071</v>
      </c>
    </row>
    <row r="4" spans="1:6" x14ac:dyDescent="0.25">
      <c r="A4" s="21">
        <v>1000</v>
      </c>
      <c r="B4" s="22">
        <v>96623</v>
      </c>
      <c r="C4" s="21">
        <v>89850</v>
      </c>
      <c r="D4" s="23">
        <v>3.8854000000000033</v>
      </c>
      <c r="E4" s="21">
        <v>307</v>
      </c>
    </row>
    <row r="7" spans="1:6" x14ac:dyDescent="0.25">
      <c r="A7" t="s">
        <v>1068</v>
      </c>
      <c r="B7" t="s">
        <v>1069</v>
      </c>
      <c r="C7" t="s">
        <v>1067</v>
      </c>
      <c r="D7" t="s">
        <v>1070</v>
      </c>
      <c r="E7" t="s">
        <v>1071</v>
      </c>
    </row>
    <row r="8" spans="1:6" x14ac:dyDescent="0.25">
      <c r="A8" s="21">
        <v>189</v>
      </c>
      <c r="B8" s="22">
        <v>18415</v>
      </c>
      <c r="C8" s="21">
        <v>16834</v>
      </c>
      <c r="D8" s="23">
        <v>3.9227513227513247</v>
      </c>
      <c r="E8" s="21">
        <v>60</v>
      </c>
    </row>
    <row r="10" spans="1:6" x14ac:dyDescent="0.25">
      <c r="A10" s="24" t="s">
        <v>1042</v>
      </c>
      <c r="B10" t="s">
        <v>1068</v>
      </c>
      <c r="C10" t="s">
        <v>1072</v>
      </c>
      <c r="E10" s="24" t="s">
        <v>1042</v>
      </c>
      <c r="F10" t="s">
        <v>1068</v>
      </c>
    </row>
    <row r="11" spans="1:6" x14ac:dyDescent="0.25">
      <c r="A11" s="25" t="s">
        <v>1044</v>
      </c>
      <c r="B11" s="21">
        <v>16</v>
      </c>
      <c r="C11" s="21">
        <v>16</v>
      </c>
      <c r="E11" s="25" t="s">
        <v>1059</v>
      </c>
      <c r="F11" s="21">
        <v>36</v>
      </c>
    </row>
    <row r="12" spans="1:6" x14ac:dyDescent="0.25">
      <c r="A12" s="25" t="s">
        <v>1045</v>
      </c>
      <c r="B12" s="21">
        <v>14</v>
      </c>
      <c r="C12" s="21">
        <v>14</v>
      </c>
      <c r="E12" s="25" t="s">
        <v>1057</v>
      </c>
      <c r="F12" s="21">
        <v>30</v>
      </c>
    </row>
    <row r="13" spans="1:6" x14ac:dyDescent="0.25">
      <c r="A13" s="25" t="s">
        <v>1046</v>
      </c>
      <c r="B13" s="21">
        <v>26</v>
      </c>
      <c r="C13" s="21">
        <v>26</v>
      </c>
      <c r="E13" s="25" t="s">
        <v>1061</v>
      </c>
      <c r="F13" s="21">
        <v>13</v>
      </c>
    </row>
    <row r="14" spans="1:6" x14ac:dyDescent="0.25">
      <c r="A14" s="25" t="s">
        <v>1047</v>
      </c>
      <c r="B14" s="21">
        <v>29</v>
      </c>
      <c r="C14" s="21">
        <v>29</v>
      </c>
      <c r="E14" s="25" t="s">
        <v>1062</v>
      </c>
      <c r="F14" s="21">
        <v>23</v>
      </c>
    </row>
    <row r="15" spans="1:6" x14ac:dyDescent="0.25">
      <c r="A15" s="25" t="s">
        <v>1048</v>
      </c>
      <c r="B15" s="21">
        <v>17</v>
      </c>
      <c r="C15" s="21">
        <v>17</v>
      </c>
      <c r="E15" s="25" t="s">
        <v>1060</v>
      </c>
      <c r="F15" s="21">
        <v>23</v>
      </c>
    </row>
    <row r="16" spans="1:6" x14ac:dyDescent="0.25">
      <c r="A16" s="25" t="s">
        <v>1049</v>
      </c>
      <c r="B16" s="21">
        <v>15</v>
      </c>
      <c r="C16" s="21">
        <v>15</v>
      </c>
      <c r="E16" s="25" t="s">
        <v>1056</v>
      </c>
      <c r="F16" s="21">
        <v>24</v>
      </c>
    </row>
    <row r="17" spans="1:9" x14ac:dyDescent="0.25">
      <c r="A17" s="25" t="s">
        <v>1050</v>
      </c>
      <c r="B17" s="21">
        <v>15</v>
      </c>
      <c r="C17" s="21">
        <v>15</v>
      </c>
      <c r="E17" s="25" t="s">
        <v>1058</v>
      </c>
      <c r="F17" s="21">
        <v>40</v>
      </c>
    </row>
    <row r="18" spans="1:9" x14ac:dyDescent="0.25">
      <c r="A18" s="25" t="s">
        <v>1051</v>
      </c>
      <c r="B18" s="21">
        <v>7</v>
      </c>
      <c r="C18" s="21">
        <v>7</v>
      </c>
      <c r="E18" s="25" t="s">
        <v>1043</v>
      </c>
      <c r="F18" s="21">
        <v>189</v>
      </c>
    </row>
    <row r="19" spans="1:9" x14ac:dyDescent="0.25">
      <c r="A19" s="25" t="s">
        <v>1052</v>
      </c>
      <c r="B19" s="21">
        <v>11</v>
      </c>
      <c r="C19" s="21">
        <v>11</v>
      </c>
    </row>
    <row r="20" spans="1:9" x14ac:dyDescent="0.25">
      <c r="A20" s="25" t="s">
        <v>1053</v>
      </c>
      <c r="B20" s="21">
        <v>24</v>
      </c>
      <c r="C20" s="21">
        <v>24</v>
      </c>
    </row>
    <row r="21" spans="1:9" x14ac:dyDescent="0.25">
      <c r="A21" s="25" t="s">
        <v>1054</v>
      </c>
      <c r="B21" s="21">
        <v>9</v>
      </c>
      <c r="C21" s="21">
        <v>9</v>
      </c>
    </row>
    <row r="22" spans="1:9" x14ac:dyDescent="0.25">
      <c r="A22" s="25" t="s">
        <v>1055</v>
      </c>
      <c r="B22" s="21">
        <v>6</v>
      </c>
      <c r="C22" s="21">
        <v>6</v>
      </c>
    </row>
    <row r="23" spans="1:9" x14ac:dyDescent="0.25">
      <c r="A23" s="25" t="s">
        <v>1043</v>
      </c>
      <c r="B23" s="21">
        <v>189</v>
      </c>
      <c r="C23" s="21">
        <v>189</v>
      </c>
    </row>
    <row r="29" spans="1:9" x14ac:dyDescent="0.25">
      <c r="G29" t="s">
        <v>1066</v>
      </c>
      <c r="I29" t="str">
        <f>A44</f>
        <v>R01</v>
      </c>
    </row>
    <row r="30" spans="1:9" x14ac:dyDescent="0.25">
      <c r="E30" t="s">
        <v>1063</v>
      </c>
    </row>
    <row r="31" spans="1:9" x14ac:dyDescent="0.25">
      <c r="E31" t="s">
        <v>1073</v>
      </c>
      <c r="F31" t="s">
        <v>1064</v>
      </c>
      <c r="G31" t="s">
        <v>1065</v>
      </c>
      <c r="H31" t="s">
        <v>1074</v>
      </c>
      <c r="I31" t="s">
        <v>1075</v>
      </c>
    </row>
    <row r="32" spans="1:9" x14ac:dyDescent="0.25">
      <c r="A32" s="24" t="s">
        <v>1042</v>
      </c>
      <c r="B32" t="s">
        <v>1068</v>
      </c>
      <c r="C32" t="s">
        <v>1069</v>
      </c>
      <c r="E32" t="str">
        <f>A33</f>
        <v>R01</v>
      </c>
      <c r="F32">
        <f t="shared" ref="F32:G37" si="0">B33</f>
        <v>189</v>
      </c>
      <c r="G32" s="27">
        <f t="shared" si="0"/>
        <v>18415</v>
      </c>
      <c r="H32">
        <f>IF(E32=$I$29,F32,NA())</f>
        <v>189</v>
      </c>
      <c r="I32">
        <f>IF(E32=$I$29,G32,NA())</f>
        <v>18415</v>
      </c>
    </row>
    <row r="33" spans="1:13" x14ac:dyDescent="0.25">
      <c r="A33" s="25" t="s">
        <v>11</v>
      </c>
      <c r="B33" s="21">
        <v>189</v>
      </c>
      <c r="C33" s="22">
        <v>18415</v>
      </c>
      <c r="E33" t="str">
        <f t="shared" ref="E33:E37" si="1">A34</f>
        <v>R02</v>
      </c>
      <c r="F33">
        <f t="shared" si="0"/>
        <v>218</v>
      </c>
      <c r="G33" s="27">
        <f t="shared" si="0"/>
        <v>20581</v>
      </c>
      <c r="H33" t="e">
        <f t="shared" ref="H33:H36" si="2">IF(E33=$I$29,F33,NA())</f>
        <v>#N/A</v>
      </c>
      <c r="I33" t="e">
        <f t="shared" ref="I33:I36" si="3">IF(E33=$I$29,G33,NA())</f>
        <v>#N/A</v>
      </c>
    </row>
    <row r="34" spans="1:13" x14ac:dyDescent="0.25">
      <c r="A34" s="25" t="s">
        <v>9</v>
      </c>
      <c r="B34" s="21">
        <v>218</v>
      </c>
      <c r="C34" s="22">
        <v>20581</v>
      </c>
      <c r="E34" t="str">
        <f t="shared" si="1"/>
        <v>R03</v>
      </c>
      <c r="F34">
        <f t="shared" si="0"/>
        <v>207</v>
      </c>
      <c r="G34" s="27">
        <f t="shared" si="0"/>
        <v>20872</v>
      </c>
      <c r="H34" t="e">
        <f t="shared" si="2"/>
        <v>#N/A</v>
      </c>
      <c r="I34" t="e">
        <f t="shared" si="3"/>
        <v>#N/A</v>
      </c>
    </row>
    <row r="35" spans="1:13" x14ac:dyDescent="0.25">
      <c r="A35" s="25" t="s">
        <v>6</v>
      </c>
      <c r="B35" s="21">
        <v>207</v>
      </c>
      <c r="C35" s="22">
        <v>20872</v>
      </c>
      <c r="E35" t="str">
        <f t="shared" si="1"/>
        <v>R04</v>
      </c>
      <c r="F35">
        <f t="shared" si="0"/>
        <v>186</v>
      </c>
      <c r="G35" s="27">
        <f t="shared" si="0"/>
        <v>16651</v>
      </c>
      <c r="H35" t="e">
        <f t="shared" si="2"/>
        <v>#N/A</v>
      </c>
      <c r="I35" t="e">
        <f t="shared" si="3"/>
        <v>#N/A</v>
      </c>
    </row>
    <row r="36" spans="1:13" x14ac:dyDescent="0.25">
      <c r="A36" s="25" t="s">
        <v>13</v>
      </c>
      <c r="B36" s="21">
        <v>186</v>
      </c>
      <c r="C36" s="22">
        <v>16651</v>
      </c>
      <c r="E36" t="str">
        <f t="shared" si="1"/>
        <v>R05</v>
      </c>
      <c r="F36">
        <f t="shared" si="0"/>
        <v>200</v>
      </c>
      <c r="G36" s="27">
        <f t="shared" si="0"/>
        <v>20104</v>
      </c>
      <c r="H36" t="e">
        <f t="shared" si="2"/>
        <v>#N/A</v>
      </c>
      <c r="I36" t="e">
        <f t="shared" si="3"/>
        <v>#N/A</v>
      </c>
    </row>
    <row r="37" spans="1:13" x14ac:dyDescent="0.25">
      <c r="A37" s="25" t="s">
        <v>10</v>
      </c>
      <c r="B37" s="21">
        <v>200</v>
      </c>
      <c r="C37" s="22">
        <v>20104</v>
      </c>
      <c r="E37" t="str">
        <f t="shared" si="1"/>
        <v>Grand Total</v>
      </c>
      <c r="F37">
        <f t="shared" si="0"/>
        <v>1000</v>
      </c>
      <c r="G37">
        <f t="shared" si="0"/>
        <v>96623</v>
      </c>
    </row>
    <row r="38" spans="1:13" x14ac:dyDescent="0.25">
      <c r="A38" s="25" t="s">
        <v>1043</v>
      </c>
      <c r="B38" s="21">
        <v>1000</v>
      </c>
      <c r="C38" s="22">
        <v>96623</v>
      </c>
    </row>
    <row r="40" spans="1:13" x14ac:dyDescent="0.25">
      <c r="G40" s="24" t="s">
        <v>1068</v>
      </c>
      <c r="H40" s="24" t="s">
        <v>1076</v>
      </c>
      <c r="L40" s="24" t="s">
        <v>1042</v>
      </c>
      <c r="M40" t="s">
        <v>1068</v>
      </c>
    </row>
    <row r="41" spans="1:13" x14ac:dyDescent="0.25">
      <c r="G41" s="24" t="s">
        <v>1042</v>
      </c>
      <c r="H41" t="s">
        <v>999</v>
      </c>
      <c r="I41" t="s">
        <v>998</v>
      </c>
      <c r="J41" t="s">
        <v>1043</v>
      </c>
      <c r="L41" s="25">
        <v>1</v>
      </c>
      <c r="M41" s="21">
        <v>1</v>
      </c>
    </row>
    <row r="42" spans="1:13" x14ac:dyDescent="0.25">
      <c r="G42" s="25" t="s">
        <v>1002</v>
      </c>
      <c r="H42" s="21">
        <v>144</v>
      </c>
      <c r="I42" s="21">
        <v>132</v>
      </c>
      <c r="J42" s="21">
        <v>276</v>
      </c>
      <c r="L42" s="25">
        <v>2</v>
      </c>
      <c r="M42" s="21">
        <v>9</v>
      </c>
    </row>
    <row r="43" spans="1:13" x14ac:dyDescent="0.25">
      <c r="A43" s="24" t="s">
        <v>1042</v>
      </c>
      <c r="G43" s="25" t="s">
        <v>1001</v>
      </c>
      <c r="H43" s="21">
        <v>326</v>
      </c>
      <c r="I43" s="21">
        <v>63</v>
      </c>
      <c r="J43" s="21">
        <v>389</v>
      </c>
      <c r="L43" s="25">
        <v>3</v>
      </c>
      <c r="M43" s="21">
        <v>31</v>
      </c>
    </row>
    <row r="44" spans="1:13" x14ac:dyDescent="0.25">
      <c r="A44" s="26" t="s">
        <v>11</v>
      </c>
      <c r="G44" s="25" t="s">
        <v>1000</v>
      </c>
      <c r="H44" s="21">
        <v>129</v>
      </c>
      <c r="I44" s="21">
        <v>206</v>
      </c>
      <c r="J44" s="21">
        <v>335</v>
      </c>
      <c r="L44" s="25">
        <v>4</v>
      </c>
      <c r="M44" s="21">
        <v>88</v>
      </c>
    </row>
    <row r="45" spans="1:13" x14ac:dyDescent="0.25">
      <c r="A45" s="25" t="s">
        <v>1043</v>
      </c>
      <c r="G45" s="25" t="s">
        <v>1043</v>
      </c>
      <c r="H45" s="21">
        <v>599</v>
      </c>
      <c r="I45" s="21">
        <v>401</v>
      </c>
      <c r="J45" s="21">
        <v>1000</v>
      </c>
      <c r="L45" s="25">
        <v>5</v>
      </c>
      <c r="M45" s="21">
        <v>60</v>
      </c>
    </row>
    <row r="46" spans="1:13" x14ac:dyDescent="0.25">
      <c r="L46" s="25" t="s">
        <v>1043</v>
      </c>
      <c r="M46" s="21">
        <v>189</v>
      </c>
    </row>
    <row r="47" spans="1:13" x14ac:dyDescent="0.25">
      <c r="D47" s="24" t="s">
        <v>1069</v>
      </c>
      <c r="E47" s="24" t="s">
        <v>1076</v>
      </c>
    </row>
    <row r="48" spans="1:13" x14ac:dyDescent="0.25">
      <c r="D48" s="24" t="s">
        <v>1042</v>
      </c>
      <c r="E48" t="s">
        <v>11</v>
      </c>
      <c r="F48" t="s">
        <v>9</v>
      </c>
      <c r="G48" t="s">
        <v>6</v>
      </c>
      <c r="H48" t="s">
        <v>13</v>
      </c>
      <c r="I48" t="s">
        <v>10</v>
      </c>
      <c r="J48" t="s">
        <v>1043</v>
      </c>
    </row>
    <row r="49" spans="4:10" x14ac:dyDescent="0.25">
      <c r="D49" s="25" t="s">
        <v>1002</v>
      </c>
    </row>
    <row r="50" spans="4:10" x14ac:dyDescent="0.25">
      <c r="D50" s="28" t="s">
        <v>20</v>
      </c>
      <c r="E50" s="22">
        <v>891</v>
      </c>
      <c r="F50" s="22">
        <v>1332</v>
      </c>
      <c r="G50" s="22">
        <v>1282</v>
      </c>
      <c r="H50" s="22">
        <v>739</v>
      </c>
      <c r="I50" s="22">
        <v>560</v>
      </c>
      <c r="J50" s="22">
        <v>4804</v>
      </c>
    </row>
    <row r="51" spans="4:10" x14ac:dyDescent="0.25">
      <c r="D51" s="28" t="s">
        <v>12</v>
      </c>
      <c r="E51" s="22">
        <v>1991</v>
      </c>
      <c r="F51" s="22">
        <v>1886</v>
      </c>
      <c r="G51" s="22">
        <v>1206</v>
      </c>
      <c r="H51" s="22">
        <v>884</v>
      </c>
      <c r="I51" s="22">
        <v>1722</v>
      </c>
      <c r="J51" s="22">
        <v>7689</v>
      </c>
    </row>
    <row r="52" spans="4:10" x14ac:dyDescent="0.25">
      <c r="D52" s="28" t="s">
        <v>8</v>
      </c>
      <c r="E52" s="22">
        <v>1163</v>
      </c>
      <c r="F52" s="22">
        <v>1180</v>
      </c>
      <c r="G52" s="22">
        <v>1616</v>
      </c>
      <c r="H52" s="22">
        <v>1043</v>
      </c>
      <c r="I52" s="22">
        <v>1747</v>
      </c>
      <c r="J52" s="22">
        <v>6749</v>
      </c>
    </row>
    <row r="53" spans="4:10" x14ac:dyDescent="0.25">
      <c r="D53" s="28" t="s">
        <v>16</v>
      </c>
      <c r="E53" s="22">
        <v>1438</v>
      </c>
      <c r="F53" s="22">
        <v>1616</v>
      </c>
      <c r="G53" s="22">
        <v>866</v>
      </c>
      <c r="H53" s="22">
        <v>829</v>
      </c>
      <c r="I53" s="22">
        <v>2070</v>
      </c>
      <c r="J53" s="22">
        <v>6819</v>
      </c>
    </row>
    <row r="54" spans="4:10" x14ac:dyDescent="0.25">
      <c r="D54" s="25" t="s">
        <v>1001</v>
      </c>
    </row>
    <row r="55" spans="4:10" x14ac:dyDescent="0.25">
      <c r="D55" s="28" t="s">
        <v>24</v>
      </c>
      <c r="E55" s="22">
        <v>1233</v>
      </c>
      <c r="F55" s="22">
        <v>223</v>
      </c>
      <c r="G55" s="22">
        <v>1680</v>
      </c>
      <c r="H55" s="22">
        <v>990</v>
      </c>
      <c r="I55" s="22">
        <v>1508</v>
      </c>
      <c r="J55" s="22">
        <v>5634</v>
      </c>
    </row>
    <row r="56" spans="4:10" x14ac:dyDescent="0.25">
      <c r="D56" s="28" t="s">
        <v>15</v>
      </c>
      <c r="E56" s="22">
        <v>1598</v>
      </c>
      <c r="F56" s="22">
        <v>1907</v>
      </c>
      <c r="G56" s="22">
        <v>869</v>
      </c>
      <c r="H56" s="22">
        <v>1426</v>
      </c>
      <c r="I56" s="22">
        <v>1416</v>
      </c>
      <c r="J56" s="22">
        <v>7216</v>
      </c>
    </row>
    <row r="57" spans="4:10" x14ac:dyDescent="0.25">
      <c r="D57" s="28" t="s">
        <v>5</v>
      </c>
      <c r="E57" s="22">
        <v>900</v>
      </c>
      <c r="F57" s="22">
        <v>1016</v>
      </c>
      <c r="G57" s="22">
        <v>960</v>
      </c>
      <c r="H57" s="22">
        <v>940</v>
      </c>
      <c r="I57" s="22">
        <v>1193</v>
      </c>
      <c r="J57" s="22">
        <v>5009</v>
      </c>
    </row>
    <row r="58" spans="4:10" x14ac:dyDescent="0.25">
      <c r="D58" s="28" t="s">
        <v>18</v>
      </c>
      <c r="E58" s="22">
        <v>900</v>
      </c>
      <c r="F58" s="22">
        <v>1470</v>
      </c>
      <c r="G58" s="22">
        <v>1617</v>
      </c>
      <c r="H58" s="22">
        <v>1314</v>
      </c>
      <c r="I58" s="22">
        <v>941</v>
      </c>
      <c r="J58" s="22">
        <v>6242</v>
      </c>
    </row>
    <row r="59" spans="4:10" x14ac:dyDescent="0.25">
      <c r="D59" s="28" t="s">
        <v>14</v>
      </c>
      <c r="E59" s="22">
        <v>1255</v>
      </c>
      <c r="F59" s="22">
        <v>516</v>
      </c>
      <c r="G59" s="22">
        <v>1874</v>
      </c>
      <c r="H59" s="22">
        <v>1863</v>
      </c>
      <c r="I59" s="22">
        <v>1722</v>
      </c>
      <c r="J59" s="22">
        <v>7230</v>
      </c>
    </row>
    <row r="60" spans="4:10" x14ac:dyDescent="0.25">
      <c r="D60" s="28" t="s">
        <v>19</v>
      </c>
      <c r="E60" s="22">
        <v>1138</v>
      </c>
      <c r="F60" s="22">
        <v>1898</v>
      </c>
      <c r="G60" s="22">
        <v>1482</v>
      </c>
      <c r="H60" s="22">
        <v>846</v>
      </c>
      <c r="I60" s="22">
        <v>1154</v>
      </c>
      <c r="J60" s="22">
        <v>6518</v>
      </c>
    </row>
    <row r="61" spans="4:10" x14ac:dyDescent="0.25">
      <c r="D61" s="25" t="s">
        <v>1000</v>
      </c>
    </row>
    <row r="62" spans="4:10" x14ac:dyDescent="0.25">
      <c r="D62" s="28" t="s">
        <v>17</v>
      </c>
      <c r="E62" s="22">
        <v>1655</v>
      </c>
      <c r="F62" s="22">
        <v>805</v>
      </c>
      <c r="G62" s="22">
        <v>2263</v>
      </c>
      <c r="H62" s="22">
        <v>987</v>
      </c>
      <c r="I62" s="22">
        <v>1075</v>
      </c>
      <c r="J62" s="22">
        <v>6785</v>
      </c>
    </row>
    <row r="63" spans="4:10" x14ac:dyDescent="0.25">
      <c r="D63" s="28" t="s">
        <v>23</v>
      </c>
      <c r="E63" s="22">
        <v>1104</v>
      </c>
      <c r="F63" s="22">
        <v>2280</v>
      </c>
      <c r="G63" s="22">
        <v>1445</v>
      </c>
      <c r="H63" s="22">
        <v>1722</v>
      </c>
      <c r="I63" s="22">
        <v>1196</v>
      </c>
      <c r="J63" s="22">
        <v>7747</v>
      </c>
    </row>
    <row r="64" spans="4:10" x14ac:dyDescent="0.25">
      <c r="D64" s="28" t="s">
        <v>7</v>
      </c>
      <c r="E64" s="22">
        <v>372</v>
      </c>
      <c r="F64" s="22">
        <v>1818</v>
      </c>
      <c r="G64" s="22">
        <v>1346</v>
      </c>
      <c r="H64" s="22">
        <v>1156</v>
      </c>
      <c r="I64" s="22">
        <v>1484</v>
      </c>
      <c r="J64" s="22">
        <v>6176</v>
      </c>
    </row>
    <row r="65" spans="4:10" x14ac:dyDescent="0.25">
      <c r="D65" s="28" t="s">
        <v>22</v>
      </c>
      <c r="E65" s="22">
        <v>1415</v>
      </c>
      <c r="F65" s="22">
        <v>1271</v>
      </c>
      <c r="G65" s="22">
        <v>1214</v>
      </c>
      <c r="H65" s="22">
        <v>1135</v>
      </c>
      <c r="I65" s="22">
        <v>1566</v>
      </c>
      <c r="J65" s="22">
        <v>6601</v>
      </c>
    </row>
    <row r="66" spans="4:10" x14ac:dyDescent="0.25">
      <c r="D66" s="28" t="s">
        <v>21</v>
      </c>
      <c r="E66" s="22">
        <v>1362</v>
      </c>
      <c r="F66" s="22">
        <v>1363</v>
      </c>
      <c r="G66" s="22">
        <v>1152</v>
      </c>
      <c r="H66" s="22">
        <v>777</v>
      </c>
      <c r="I66" s="22">
        <v>750</v>
      </c>
      <c r="J66"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J7" zoomScale="115" zoomScaleNormal="115" workbookViewId="0">
      <selection activeCell="K17" sqref="K17"/>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87E0-51FF-4278-8643-D192126B89AA}">
  <dimension ref="A1:T40"/>
  <sheetViews>
    <sheetView tabSelected="1" workbookViewId="0">
      <selection activeCell="I2" sqref="I2"/>
    </sheetView>
  </sheetViews>
  <sheetFormatPr defaultRowHeight="15" x14ac:dyDescent="0.25"/>
  <cols>
    <col min="1" max="2" width="3" customWidth="1"/>
    <col min="13" max="13" width="9.375" customWidth="1"/>
  </cols>
  <sheetData>
    <row r="1" spans="1:20" x14ac:dyDescent="0.25">
      <c r="A1" s="20"/>
      <c r="B1" s="20"/>
      <c r="C1" s="20"/>
      <c r="D1" s="20"/>
      <c r="E1" s="20"/>
      <c r="F1" s="20"/>
      <c r="G1" s="20"/>
      <c r="H1" s="20"/>
      <c r="I1" s="20"/>
      <c r="J1" s="20"/>
      <c r="K1" s="20"/>
      <c r="L1" s="20"/>
      <c r="M1" s="20"/>
      <c r="N1" s="20"/>
      <c r="O1" s="20"/>
      <c r="P1" s="20"/>
      <c r="Q1" s="20"/>
      <c r="R1" s="20"/>
      <c r="S1" s="20"/>
      <c r="T1" s="20"/>
    </row>
    <row r="2" spans="1:20" ht="28.5" x14ac:dyDescent="0.45">
      <c r="A2" s="20"/>
      <c r="B2" s="20"/>
      <c r="C2" s="33" t="s">
        <v>1079</v>
      </c>
      <c r="D2" s="20"/>
      <c r="E2" s="20"/>
      <c r="F2" s="20"/>
      <c r="G2" s="20"/>
      <c r="H2" s="20"/>
      <c r="I2" s="20"/>
      <c r="J2" s="20"/>
      <c r="K2" s="20"/>
      <c r="L2" s="20"/>
      <c r="M2" s="20"/>
      <c r="N2" s="20"/>
      <c r="O2" s="20"/>
      <c r="P2" s="20"/>
      <c r="Q2" s="20"/>
      <c r="R2" s="20"/>
      <c r="S2" s="20"/>
      <c r="T2" s="20"/>
    </row>
    <row r="3" spans="1:20" x14ac:dyDescent="0.25">
      <c r="A3" s="20"/>
      <c r="B3" s="20"/>
      <c r="C3" s="20"/>
      <c r="D3" s="20"/>
      <c r="E3" s="20"/>
      <c r="F3" s="20"/>
      <c r="G3" s="20"/>
      <c r="H3" s="20"/>
      <c r="I3" s="20"/>
      <c r="J3" s="20"/>
      <c r="K3" s="20"/>
      <c r="L3" s="20"/>
      <c r="M3" s="20"/>
      <c r="N3" s="20"/>
      <c r="O3" s="20"/>
      <c r="P3" s="20"/>
      <c r="Q3" s="20"/>
      <c r="R3" s="20"/>
      <c r="S3" s="20"/>
      <c r="T3" s="20"/>
    </row>
    <row r="4" spans="1:20" x14ac:dyDescent="0.25">
      <c r="A4" s="20"/>
      <c r="B4" s="20"/>
      <c r="C4" s="20"/>
      <c r="D4" s="20"/>
      <c r="E4" s="20"/>
      <c r="F4" s="20"/>
      <c r="G4" s="20"/>
      <c r="H4" s="20"/>
      <c r="I4" s="20"/>
      <c r="J4" s="20"/>
      <c r="K4" s="20"/>
      <c r="L4" s="20"/>
      <c r="M4" s="20"/>
      <c r="N4" s="20"/>
      <c r="O4" s="20"/>
      <c r="P4" s="20"/>
      <c r="Q4" s="20"/>
      <c r="R4" s="20"/>
      <c r="S4" s="20"/>
      <c r="T4" s="20"/>
    </row>
    <row r="5" spans="1:20" x14ac:dyDescent="0.25">
      <c r="A5" s="20"/>
      <c r="B5" s="20"/>
      <c r="C5" s="20"/>
      <c r="D5" s="20"/>
      <c r="E5" s="20"/>
      <c r="F5" s="20"/>
      <c r="G5" s="20"/>
      <c r="H5" s="20"/>
      <c r="I5" s="20"/>
      <c r="J5" s="20"/>
      <c r="K5" s="20"/>
      <c r="L5" s="20"/>
      <c r="M5" s="20"/>
      <c r="N5" s="20"/>
      <c r="O5" s="20"/>
      <c r="P5" s="20"/>
      <c r="Q5" s="20"/>
      <c r="R5" s="20"/>
      <c r="S5" s="20"/>
      <c r="T5" s="20"/>
    </row>
    <row r="6" spans="1:20" x14ac:dyDescent="0.25">
      <c r="A6" s="20"/>
      <c r="B6" s="20"/>
      <c r="C6" s="20"/>
      <c r="D6" s="20"/>
      <c r="E6" s="20"/>
      <c r="F6" s="20"/>
      <c r="G6" s="20"/>
      <c r="H6" s="20"/>
      <c r="I6" s="20"/>
      <c r="J6" s="20"/>
      <c r="K6" s="20"/>
      <c r="L6" s="20"/>
      <c r="M6" s="20"/>
      <c r="N6" s="20"/>
      <c r="O6" s="20"/>
      <c r="P6" s="20"/>
      <c r="Q6" s="20"/>
      <c r="R6" s="20"/>
      <c r="S6" s="20"/>
      <c r="T6" s="20"/>
    </row>
    <row r="7" spans="1:20" x14ac:dyDescent="0.25">
      <c r="A7" s="20"/>
      <c r="B7" s="20"/>
      <c r="C7" s="20"/>
      <c r="D7" s="20"/>
      <c r="E7" s="20"/>
      <c r="F7" s="20"/>
      <c r="G7" s="20"/>
      <c r="H7" s="20"/>
      <c r="I7" s="20"/>
      <c r="J7" s="20"/>
      <c r="K7" s="20"/>
      <c r="L7" s="20"/>
      <c r="M7" s="20"/>
      <c r="N7" s="20"/>
      <c r="O7" s="20"/>
      <c r="P7" s="20"/>
      <c r="Q7" s="20"/>
      <c r="R7" s="20"/>
      <c r="S7" s="20"/>
      <c r="T7" s="20"/>
    </row>
    <row r="8" spans="1:20" x14ac:dyDescent="0.25">
      <c r="A8" s="20"/>
      <c r="B8" s="20"/>
      <c r="C8" s="20"/>
      <c r="D8" s="20"/>
      <c r="E8" s="20"/>
      <c r="F8" s="20"/>
      <c r="G8" s="20"/>
      <c r="H8" s="20"/>
      <c r="I8" s="20"/>
      <c r="J8" s="20"/>
      <c r="K8" s="20"/>
      <c r="L8" s="20"/>
      <c r="M8" s="20"/>
      <c r="N8" s="20"/>
      <c r="O8" s="20"/>
      <c r="P8" s="20"/>
      <c r="Q8" s="20"/>
      <c r="R8" s="20"/>
      <c r="S8" s="20"/>
      <c r="T8" s="20"/>
    </row>
    <row r="9" spans="1:20" x14ac:dyDescent="0.25">
      <c r="A9" s="20"/>
      <c r="B9" s="20"/>
      <c r="C9" s="20"/>
      <c r="D9" s="20"/>
      <c r="E9" s="20"/>
      <c r="F9" s="20"/>
      <c r="G9" s="20"/>
      <c r="H9" s="20"/>
      <c r="I9" s="20"/>
      <c r="J9" s="20"/>
      <c r="K9" s="20"/>
      <c r="L9" s="20"/>
      <c r="M9" s="20"/>
      <c r="N9" s="20"/>
      <c r="O9" s="20"/>
      <c r="P9" s="20"/>
      <c r="Q9" s="20"/>
      <c r="R9" s="20"/>
      <c r="S9" s="20"/>
      <c r="T9" s="20"/>
    </row>
    <row r="10" spans="1:20" x14ac:dyDescent="0.25">
      <c r="A10" s="20"/>
      <c r="B10" s="20"/>
      <c r="C10" s="20"/>
      <c r="D10" s="20"/>
      <c r="E10" s="20"/>
      <c r="F10" s="20"/>
      <c r="G10" s="20"/>
      <c r="H10" s="20"/>
      <c r="I10" s="20"/>
      <c r="J10" s="20"/>
      <c r="K10" s="20"/>
      <c r="L10" s="20"/>
      <c r="M10" s="20"/>
      <c r="N10" s="20"/>
      <c r="O10" s="20"/>
      <c r="P10" s="20"/>
      <c r="Q10" s="20"/>
      <c r="R10" s="20"/>
      <c r="S10" s="20"/>
      <c r="T10" s="20"/>
    </row>
    <row r="11" spans="1:20" x14ac:dyDescent="0.25">
      <c r="A11" s="20"/>
      <c r="B11" s="20"/>
      <c r="C11" s="20"/>
      <c r="D11" s="20"/>
      <c r="E11" s="20"/>
      <c r="F11" s="20"/>
      <c r="G11" s="20"/>
      <c r="H11" s="20"/>
      <c r="I11" s="20"/>
      <c r="J11" s="20"/>
      <c r="K11" s="20"/>
      <c r="L11" s="20"/>
      <c r="M11" s="20"/>
      <c r="N11" s="20"/>
      <c r="O11" s="20"/>
      <c r="P11" s="20"/>
      <c r="Q11" s="20"/>
      <c r="R11" s="20"/>
      <c r="S11" s="20"/>
      <c r="T11" s="20"/>
    </row>
    <row r="12" spans="1:20" x14ac:dyDescent="0.25">
      <c r="A12" s="20"/>
      <c r="B12" s="20"/>
      <c r="C12" s="20"/>
      <c r="D12" s="20"/>
      <c r="E12" s="20"/>
      <c r="F12" s="20"/>
      <c r="G12" s="20"/>
      <c r="H12" s="20"/>
      <c r="I12" s="20"/>
      <c r="J12" s="20"/>
      <c r="K12" s="20"/>
      <c r="L12" s="20"/>
      <c r="M12" s="20"/>
      <c r="N12" s="20"/>
      <c r="O12" s="20"/>
      <c r="P12" s="20"/>
      <c r="Q12" s="20"/>
      <c r="R12" s="20"/>
      <c r="S12" s="20"/>
      <c r="T12" s="20"/>
    </row>
    <row r="13" spans="1:20" x14ac:dyDescent="0.25">
      <c r="A13" s="20"/>
      <c r="B13" s="20"/>
      <c r="C13" s="20"/>
      <c r="D13" s="20"/>
      <c r="E13" s="20"/>
      <c r="F13" s="20"/>
      <c r="G13" s="20"/>
      <c r="H13" s="20"/>
      <c r="I13" s="20"/>
      <c r="J13" s="20"/>
      <c r="K13" s="20"/>
      <c r="L13" s="20"/>
      <c r="M13" s="20"/>
      <c r="N13" s="20"/>
      <c r="O13" s="20"/>
      <c r="P13" s="20"/>
      <c r="Q13" s="20"/>
      <c r="R13" s="20"/>
      <c r="S13" s="20"/>
      <c r="T13" s="20"/>
    </row>
    <row r="14" spans="1:20" x14ac:dyDescent="0.25">
      <c r="A14" s="20"/>
      <c r="B14" s="20"/>
      <c r="C14" s="20"/>
      <c r="D14" s="20"/>
      <c r="E14" s="20"/>
      <c r="F14" s="20"/>
      <c r="G14" s="20"/>
      <c r="H14" s="20"/>
      <c r="I14" s="20"/>
      <c r="J14" s="20"/>
      <c r="K14" s="20"/>
      <c r="L14" s="20"/>
      <c r="M14" s="20"/>
      <c r="N14" s="20"/>
      <c r="O14" s="20"/>
      <c r="P14" s="20"/>
      <c r="Q14" s="20"/>
      <c r="R14" s="20"/>
      <c r="S14" s="20"/>
      <c r="T14" s="20"/>
    </row>
    <row r="15" spans="1:20" x14ac:dyDescent="0.25">
      <c r="A15" s="20"/>
      <c r="B15" s="20"/>
      <c r="C15" s="20"/>
      <c r="D15" s="20"/>
      <c r="E15" s="20"/>
      <c r="F15" s="20"/>
      <c r="G15" s="20"/>
      <c r="H15" s="20"/>
      <c r="I15" s="20"/>
      <c r="J15" s="20"/>
      <c r="K15" s="20"/>
      <c r="L15" s="20"/>
      <c r="M15" s="20"/>
      <c r="N15" s="20"/>
      <c r="O15" s="20"/>
      <c r="P15" s="20"/>
      <c r="Q15" s="20"/>
      <c r="R15" s="20"/>
      <c r="S15" s="20"/>
      <c r="T15" s="20"/>
    </row>
    <row r="16" spans="1:20" x14ac:dyDescent="0.25">
      <c r="A16" s="20"/>
      <c r="B16" s="20"/>
      <c r="C16" s="20"/>
      <c r="D16" s="20"/>
      <c r="E16" s="20"/>
      <c r="F16" s="20"/>
      <c r="G16" s="20"/>
      <c r="H16" s="20"/>
      <c r="I16" s="20"/>
      <c r="J16" s="20"/>
      <c r="K16" s="20"/>
      <c r="L16" s="20"/>
      <c r="M16" s="29"/>
      <c r="N16" s="29" t="str">
        <f>Pivot!E48</f>
        <v>R01</v>
      </c>
      <c r="O16" s="29" t="str">
        <f>Pivot!F48</f>
        <v>R02</v>
      </c>
      <c r="P16" s="29" t="str">
        <f>Pivot!G48</f>
        <v>R03</v>
      </c>
      <c r="Q16" s="29" t="str">
        <f>Pivot!H48</f>
        <v>R04</v>
      </c>
      <c r="R16" s="29" t="str">
        <f>Pivot!I48</f>
        <v>R05</v>
      </c>
      <c r="S16" s="29" t="s">
        <v>1078</v>
      </c>
      <c r="T16" s="20"/>
    </row>
    <row r="17" spans="1:20" x14ac:dyDescent="0.25">
      <c r="A17" s="20"/>
      <c r="B17" s="20"/>
      <c r="C17" s="20"/>
      <c r="D17" s="20"/>
      <c r="E17" s="20"/>
      <c r="F17" s="20"/>
      <c r="G17" s="20"/>
      <c r="H17" s="20"/>
      <c r="I17" s="20"/>
      <c r="J17" s="20"/>
      <c r="K17" s="20"/>
      <c r="L17" s="20"/>
      <c r="M17" s="29" t="str">
        <f>Pivot!D49</f>
        <v>Cincinnati</v>
      </c>
      <c r="N17" s="29"/>
      <c r="O17" s="29"/>
      <c r="P17" s="29"/>
      <c r="Q17" s="29"/>
      <c r="R17" s="29"/>
      <c r="S17" s="29"/>
      <c r="T17" s="20"/>
    </row>
    <row r="18" spans="1:20" x14ac:dyDescent="0.25">
      <c r="A18" s="20"/>
      <c r="B18" s="20"/>
      <c r="C18" s="20"/>
      <c r="D18" s="20"/>
      <c r="E18" s="20"/>
      <c r="F18" s="20"/>
      <c r="G18" s="20"/>
      <c r="H18" s="20"/>
      <c r="I18" s="20"/>
      <c r="J18" s="20"/>
      <c r="K18" s="20"/>
      <c r="L18" s="20"/>
      <c r="M18" s="30" t="str">
        <f>Pivot!D50</f>
        <v>C0003</v>
      </c>
      <c r="N18" s="31">
        <f>Pivot!E50</f>
        <v>891</v>
      </c>
      <c r="O18" s="31">
        <f>Pivot!F50</f>
        <v>1332</v>
      </c>
      <c r="P18" s="31">
        <f>Pivot!G50</f>
        <v>1282</v>
      </c>
      <c r="Q18" s="31">
        <f>Pivot!H50</f>
        <v>739</v>
      </c>
      <c r="R18" s="31">
        <f>Pivot!I50</f>
        <v>560</v>
      </c>
      <c r="S18" s="31">
        <f>Pivot!J50</f>
        <v>4804</v>
      </c>
      <c r="T18" s="20"/>
    </row>
    <row r="19" spans="1:20" x14ac:dyDescent="0.25">
      <c r="A19" s="20"/>
      <c r="B19" s="20"/>
      <c r="C19" s="20"/>
      <c r="D19" s="20"/>
      <c r="E19" s="20"/>
      <c r="F19" s="20"/>
      <c r="G19" s="20"/>
      <c r="H19" s="20"/>
      <c r="I19" s="20"/>
      <c r="J19" s="20"/>
      <c r="K19" s="20"/>
      <c r="L19" s="20"/>
      <c r="M19" s="30" t="str">
        <f>Pivot!D51</f>
        <v>C0004</v>
      </c>
      <c r="N19" s="31">
        <f>Pivot!E51</f>
        <v>1991</v>
      </c>
      <c r="O19" s="31">
        <f>Pivot!F51</f>
        <v>1886</v>
      </c>
      <c r="P19" s="31">
        <f>Pivot!G51</f>
        <v>1206</v>
      </c>
      <c r="Q19" s="31">
        <f>Pivot!H51</f>
        <v>884</v>
      </c>
      <c r="R19" s="31">
        <f>Pivot!I51</f>
        <v>1722</v>
      </c>
      <c r="S19" s="31">
        <f>Pivot!J51</f>
        <v>7689</v>
      </c>
      <c r="T19" s="20"/>
    </row>
    <row r="20" spans="1:20" x14ac:dyDescent="0.25">
      <c r="A20" s="20"/>
      <c r="B20" s="20"/>
      <c r="C20" s="20"/>
      <c r="D20" s="20"/>
      <c r="E20" s="20"/>
      <c r="F20" s="20"/>
      <c r="G20" s="20"/>
      <c r="H20" s="20"/>
      <c r="I20" s="20"/>
      <c r="J20" s="20"/>
      <c r="K20" s="20"/>
      <c r="L20" s="20"/>
      <c r="M20" s="30" t="str">
        <f>Pivot!D52</f>
        <v>C0011</v>
      </c>
      <c r="N20" s="31">
        <f>Pivot!E52</f>
        <v>1163</v>
      </c>
      <c r="O20" s="31">
        <f>Pivot!F52</f>
        <v>1180</v>
      </c>
      <c r="P20" s="31">
        <f>Pivot!G52</f>
        <v>1616</v>
      </c>
      <c r="Q20" s="31">
        <f>Pivot!H52</f>
        <v>1043</v>
      </c>
      <c r="R20" s="31">
        <f>Pivot!I52</f>
        <v>1747</v>
      </c>
      <c r="S20" s="31">
        <f>Pivot!J52</f>
        <v>6749</v>
      </c>
      <c r="T20" s="20"/>
    </row>
    <row r="21" spans="1:20" x14ac:dyDescent="0.25">
      <c r="A21" s="20"/>
      <c r="B21" s="20"/>
      <c r="C21" s="20"/>
      <c r="D21" s="20"/>
      <c r="E21" s="20"/>
      <c r="F21" s="20"/>
      <c r="G21" s="20"/>
      <c r="H21" s="20"/>
      <c r="I21" s="20"/>
      <c r="J21" s="20"/>
      <c r="K21" s="20"/>
      <c r="L21" s="20"/>
      <c r="M21" s="30" t="str">
        <f>Pivot!D53</f>
        <v>C0012</v>
      </c>
      <c r="N21" s="31">
        <f>Pivot!E53</f>
        <v>1438</v>
      </c>
      <c r="O21" s="31">
        <f>Pivot!F53</f>
        <v>1616</v>
      </c>
      <c r="P21" s="31">
        <f>Pivot!G53</f>
        <v>866</v>
      </c>
      <c r="Q21" s="31">
        <f>Pivot!H53</f>
        <v>829</v>
      </c>
      <c r="R21" s="31">
        <f>Pivot!I53</f>
        <v>2070</v>
      </c>
      <c r="S21" s="31">
        <f>Pivot!J53</f>
        <v>6819</v>
      </c>
      <c r="T21" s="20"/>
    </row>
    <row r="22" spans="1:20" x14ac:dyDescent="0.25">
      <c r="A22" s="20"/>
      <c r="B22" s="20"/>
      <c r="C22" s="20"/>
      <c r="D22" s="20"/>
      <c r="E22" s="20"/>
      <c r="F22" s="20"/>
      <c r="G22" s="20"/>
      <c r="H22" s="20"/>
      <c r="I22" s="20"/>
      <c r="J22" s="20"/>
      <c r="K22" s="20"/>
      <c r="L22" s="20"/>
      <c r="M22" s="29" t="str">
        <f>Pivot!D54</f>
        <v>Cleveland</v>
      </c>
      <c r="N22" s="31"/>
      <c r="O22" s="31"/>
      <c r="P22" s="31"/>
      <c r="Q22" s="31"/>
      <c r="R22" s="31"/>
      <c r="S22" s="31"/>
      <c r="T22" s="20"/>
    </row>
    <row r="23" spans="1:20" x14ac:dyDescent="0.25">
      <c r="A23" s="20"/>
      <c r="B23" s="20"/>
      <c r="C23" s="20"/>
      <c r="D23" s="20"/>
      <c r="E23" s="20"/>
      <c r="F23" s="20"/>
      <c r="G23" s="20"/>
      <c r="H23" s="20"/>
      <c r="I23" s="20"/>
      <c r="J23" s="20"/>
      <c r="K23" s="20"/>
      <c r="L23" s="20"/>
      <c r="M23" s="30" t="str">
        <f>Pivot!D55</f>
        <v>C0002</v>
      </c>
      <c r="N23" s="31">
        <f>Pivot!E55</f>
        <v>1233</v>
      </c>
      <c r="O23" s="31">
        <f>Pivot!F55</f>
        <v>223</v>
      </c>
      <c r="P23" s="31">
        <f>Pivot!G55</f>
        <v>1680</v>
      </c>
      <c r="Q23" s="31">
        <f>Pivot!H55</f>
        <v>990</v>
      </c>
      <c r="R23" s="31">
        <f>Pivot!I55</f>
        <v>1508</v>
      </c>
      <c r="S23" s="31">
        <f>Pivot!J55</f>
        <v>5634</v>
      </c>
      <c r="T23" s="20"/>
    </row>
    <row r="24" spans="1:20" x14ac:dyDescent="0.25">
      <c r="A24" s="20"/>
      <c r="B24" s="20"/>
      <c r="C24" s="20"/>
      <c r="D24" s="20"/>
      <c r="E24" s="20"/>
      <c r="F24" s="20"/>
      <c r="G24" s="20"/>
      <c r="H24" s="20"/>
      <c r="I24" s="20"/>
      <c r="J24" s="20"/>
      <c r="K24" s="20"/>
      <c r="L24" s="20"/>
      <c r="M24" s="30" t="str">
        <f>Pivot!D56</f>
        <v>C0007</v>
      </c>
      <c r="N24" s="31">
        <f>Pivot!E56</f>
        <v>1598</v>
      </c>
      <c r="O24" s="31">
        <f>Pivot!F56</f>
        <v>1907</v>
      </c>
      <c r="P24" s="31">
        <f>Pivot!G56</f>
        <v>869</v>
      </c>
      <c r="Q24" s="31">
        <f>Pivot!H56</f>
        <v>1426</v>
      </c>
      <c r="R24" s="31">
        <f>Pivot!I56</f>
        <v>1416</v>
      </c>
      <c r="S24" s="31">
        <f>Pivot!J56</f>
        <v>7216</v>
      </c>
      <c r="T24" s="20"/>
    </row>
    <row r="25" spans="1:20" x14ac:dyDescent="0.25">
      <c r="A25" s="20"/>
      <c r="B25" s="20"/>
      <c r="C25" s="20"/>
      <c r="D25" s="20"/>
      <c r="E25" s="20"/>
      <c r="F25" s="20"/>
      <c r="G25" s="20"/>
      <c r="H25" s="20"/>
      <c r="I25" s="20"/>
      <c r="J25" s="20"/>
      <c r="K25" s="20"/>
      <c r="L25" s="20"/>
      <c r="M25" s="30" t="str">
        <f>Pivot!D57</f>
        <v>C0008</v>
      </c>
      <c r="N25" s="31">
        <f>Pivot!E57</f>
        <v>900</v>
      </c>
      <c r="O25" s="31">
        <f>Pivot!F57</f>
        <v>1016</v>
      </c>
      <c r="P25" s="31">
        <f>Pivot!G57</f>
        <v>960</v>
      </c>
      <c r="Q25" s="31">
        <f>Pivot!H57</f>
        <v>940</v>
      </c>
      <c r="R25" s="31">
        <f>Pivot!I57</f>
        <v>1193</v>
      </c>
      <c r="S25" s="31">
        <f>Pivot!J57</f>
        <v>5009</v>
      </c>
      <c r="T25" s="20"/>
    </row>
    <row r="26" spans="1:20" x14ac:dyDescent="0.25">
      <c r="A26" s="20"/>
      <c r="B26" s="20"/>
      <c r="C26" s="20"/>
      <c r="D26" s="20"/>
      <c r="E26" s="20"/>
      <c r="F26" s="20"/>
      <c r="G26" s="20"/>
      <c r="H26" s="20"/>
      <c r="I26" s="20"/>
      <c r="J26" s="20"/>
      <c r="K26" s="20"/>
      <c r="L26" s="20"/>
      <c r="M26" s="30" t="str">
        <f>Pivot!D58</f>
        <v>C0010</v>
      </c>
      <c r="N26" s="31">
        <f>Pivot!E58</f>
        <v>900</v>
      </c>
      <c r="O26" s="31">
        <f>Pivot!F58</f>
        <v>1470</v>
      </c>
      <c r="P26" s="31">
        <f>Pivot!G58</f>
        <v>1617</v>
      </c>
      <c r="Q26" s="31">
        <f>Pivot!H58</f>
        <v>1314</v>
      </c>
      <c r="R26" s="31">
        <f>Pivot!I58</f>
        <v>941</v>
      </c>
      <c r="S26" s="31">
        <f>Pivot!J58</f>
        <v>6242</v>
      </c>
      <c r="T26" s="20"/>
    </row>
    <row r="27" spans="1:20" x14ac:dyDescent="0.25">
      <c r="A27" s="20"/>
      <c r="B27" s="20"/>
      <c r="C27" s="20"/>
      <c r="D27" s="20"/>
      <c r="E27" s="20"/>
      <c r="F27" s="20"/>
      <c r="G27" s="20"/>
      <c r="H27" s="20"/>
      <c r="I27" s="20"/>
      <c r="J27" s="20"/>
      <c r="K27" s="20"/>
      <c r="L27" s="20"/>
      <c r="M27" s="30" t="str">
        <f>Pivot!D59</f>
        <v>C0013</v>
      </c>
      <c r="N27" s="31">
        <f>Pivot!E59</f>
        <v>1255</v>
      </c>
      <c r="O27" s="31">
        <f>Pivot!F59</f>
        <v>516</v>
      </c>
      <c r="P27" s="31">
        <f>Pivot!G59</f>
        <v>1874</v>
      </c>
      <c r="Q27" s="31">
        <f>Pivot!H59</f>
        <v>1863</v>
      </c>
      <c r="R27" s="31">
        <f>Pivot!I59</f>
        <v>1722</v>
      </c>
      <c r="S27" s="31">
        <f>Pivot!J59</f>
        <v>7230</v>
      </c>
      <c r="T27" s="20"/>
    </row>
    <row r="28" spans="1:20" x14ac:dyDescent="0.25">
      <c r="A28" s="20"/>
      <c r="B28" s="20"/>
      <c r="C28" s="20"/>
      <c r="D28" s="20"/>
      <c r="E28" s="20"/>
      <c r="F28" s="20"/>
      <c r="G28" s="20"/>
      <c r="H28" s="20"/>
      <c r="I28" s="20"/>
      <c r="J28" s="20"/>
      <c r="K28" s="20"/>
      <c r="L28" s="20"/>
      <c r="M28" s="30" t="str">
        <f>Pivot!D60</f>
        <v>C0015</v>
      </c>
      <c r="N28" s="31">
        <f>Pivot!E60</f>
        <v>1138</v>
      </c>
      <c r="O28" s="31">
        <f>Pivot!F60</f>
        <v>1898</v>
      </c>
      <c r="P28" s="31">
        <f>Pivot!G60</f>
        <v>1482</v>
      </c>
      <c r="Q28" s="31">
        <f>Pivot!H60</f>
        <v>846</v>
      </c>
      <c r="R28" s="31">
        <f>Pivot!I60</f>
        <v>1154</v>
      </c>
      <c r="S28" s="31">
        <f>Pivot!J60</f>
        <v>6518</v>
      </c>
      <c r="T28" s="20"/>
    </row>
    <row r="29" spans="1:20" x14ac:dyDescent="0.25">
      <c r="A29" s="20"/>
      <c r="B29" s="20"/>
      <c r="C29" s="20"/>
      <c r="D29" s="20"/>
      <c r="E29" s="20"/>
      <c r="F29" s="20"/>
      <c r="G29" s="20"/>
      <c r="H29" s="20"/>
      <c r="I29" s="20"/>
      <c r="J29" s="20"/>
      <c r="K29" s="20"/>
      <c r="L29" s="20"/>
      <c r="M29" s="29" t="str">
        <f>Pivot!D61</f>
        <v>Columbus</v>
      </c>
      <c r="N29" s="31" t="s">
        <v>1077</v>
      </c>
      <c r="O29" s="31"/>
      <c r="P29" s="31"/>
      <c r="Q29" s="31"/>
      <c r="R29" s="31"/>
      <c r="S29" s="31"/>
      <c r="T29" s="20"/>
    </row>
    <row r="30" spans="1:20" x14ac:dyDescent="0.25">
      <c r="A30" s="20"/>
      <c r="B30" s="20"/>
      <c r="C30" s="20"/>
      <c r="D30" s="20"/>
      <c r="E30" s="20"/>
      <c r="F30" s="20"/>
      <c r="G30" s="20"/>
      <c r="H30" s="20"/>
      <c r="I30" s="20"/>
      <c r="J30" s="20"/>
      <c r="K30" s="20"/>
      <c r="L30" s="20"/>
      <c r="M30" s="30" t="str">
        <f>Pivot!D62</f>
        <v>C0001</v>
      </c>
      <c r="N30" s="31">
        <f>Pivot!E62</f>
        <v>1655</v>
      </c>
      <c r="O30" s="31">
        <f>Pivot!F62</f>
        <v>805</v>
      </c>
      <c r="P30" s="31">
        <f>Pivot!G62</f>
        <v>2263</v>
      </c>
      <c r="Q30" s="31">
        <f>Pivot!H62</f>
        <v>987</v>
      </c>
      <c r="R30" s="31">
        <f>Pivot!I62</f>
        <v>1075</v>
      </c>
      <c r="S30" s="31">
        <f>Pivot!J62</f>
        <v>6785</v>
      </c>
      <c r="T30" s="20"/>
    </row>
    <row r="31" spans="1:20" x14ac:dyDescent="0.25">
      <c r="A31" s="20"/>
      <c r="B31" s="20"/>
      <c r="C31" s="20"/>
      <c r="D31" s="20"/>
      <c r="E31" s="20"/>
      <c r="F31" s="20"/>
      <c r="G31" s="20"/>
      <c r="H31" s="20"/>
      <c r="I31" s="20"/>
      <c r="J31" s="20"/>
      <c r="K31" s="20"/>
      <c r="L31" s="20"/>
      <c r="M31" s="30" t="str">
        <f>Pivot!D63</f>
        <v>C0005</v>
      </c>
      <c r="N31" s="31">
        <f>Pivot!E63</f>
        <v>1104</v>
      </c>
      <c r="O31" s="31">
        <f>Pivot!F63</f>
        <v>2280</v>
      </c>
      <c r="P31" s="31">
        <f>Pivot!G63</f>
        <v>1445</v>
      </c>
      <c r="Q31" s="31">
        <f>Pivot!H63</f>
        <v>1722</v>
      </c>
      <c r="R31" s="31">
        <f>Pivot!I63</f>
        <v>1196</v>
      </c>
      <c r="S31" s="31">
        <f>Pivot!J63</f>
        <v>7747</v>
      </c>
      <c r="T31" s="20"/>
    </row>
    <row r="32" spans="1:20" x14ac:dyDescent="0.25">
      <c r="A32" s="20"/>
      <c r="B32" s="20"/>
      <c r="C32" s="20"/>
      <c r="D32" s="20"/>
      <c r="E32" s="20"/>
      <c r="F32" s="20"/>
      <c r="G32" s="20"/>
      <c r="H32" s="20"/>
      <c r="I32" s="20"/>
      <c r="J32" s="20"/>
      <c r="K32" s="20"/>
      <c r="L32" s="20"/>
      <c r="M32" s="30" t="str">
        <f>Pivot!D64</f>
        <v>C0006</v>
      </c>
      <c r="N32" s="31">
        <f>Pivot!E64</f>
        <v>372</v>
      </c>
      <c r="O32" s="31">
        <f>Pivot!F64</f>
        <v>1818</v>
      </c>
      <c r="P32" s="31">
        <f>Pivot!G64</f>
        <v>1346</v>
      </c>
      <c r="Q32" s="31">
        <f>Pivot!H64</f>
        <v>1156</v>
      </c>
      <c r="R32" s="31">
        <f>Pivot!I64</f>
        <v>1484</v>
      </c>
      <c r="S32" s="31">
        <f>Pivot!J64</f>
        <v>6176</v>
      </c>
      <c r="T32" s="20"/>
    </row>
    <row r="33" spans="1:20" x14ac:dyDescent="0.25">
      <c r="A33" s="20"/>
      <c r="B33" s="20"/>
      <c r="C33" s="20"/>
      <c r="D33" s="20"/>
      <c r="E33" s="20"/>
      <c r="F33" s="20"/>
      <c r="G33" s="20"/>
      <c r="H33" s="20"/>
      <c r="I33" s="20"/>
      <c r="J33" s="20"/>
      <c r="K33" s="20"/>
      <c r="L33" s="20"/>
      <c r="M33" s="30" t="str">
        <f>Pivot!D65</f>
        <v>C0009</v>
      </c>
      <c r="N33" s="31">
        <f>Pivot!E65</f>
        <v>1415</v>
      </c>
      <c r="O33" s="31">
        <f>Pivot!F65</f>
        <v>1271</v>
      </c>
      <c r="P33" s="31">
        <f>Pivot!G65</f>
        <v>1214</v>
      </c>
      <c r="Q33" s="31">
        <f>Pivot!H65</f>
        <v>1135</v>
      </c>
      <c r="R33" s="31">
        <f>Pivot!I65</f>
        <v>1566</v>
      </c>
      <c r="S33" s="31">
        <f>Pivot!J65</f>
        <v>6601</v>
      </c>
      <c r="T33" s="20"/>
    </row>
    <row r="34" spans="1:20" x14ac:dyDescent="0.25">
      <c r="A34" s="20"/>
      <c r="B34" s="20"/>
      <c r="C34" s="20"/>
      <c r="D34" s="20"/>
      <c r="E34" s="20"/>
      <c r="F34" s="20"/>
      <c r="G34" s="20"/>
      <c r="H34" s="20"/>
      <c r="I34" s="20"/>
      <c r="J34" s="20"/>
      <c r="K34" s="20"/>
      <c r="L34" s="20"/>
      <c r="M34" s="32" t="str">
        <f>Pivot!D66</f>
        <v>C0014</v>
      </c>
      <c r="N34" s="31">
        <f>Pivot!E66</f>
        <v>1362</v>
      </c>
      <c r="O34" s="31">
        <f>Pivot!F66</f>
        <v>1363</v>
      </c>
      <c r="P34" s="31">
        <f>Pivot!G66</f>
        <v>1152</v>
      </c>
      <c r="Q34" s="31">
        <f>Pivot!H66</f>
        <v>777</v>
      </c>
      <c r="R34" s="31">
        <f>Pivot!I66</f>
        <v>750</v>
      </c>
      <c r="S34" s="31">
        <f>Pivot!J66</f>
        <v>5404</v>
      </c>
      <c r="T34" s="20"/>
    </row>
    <row r="35" spans="1:20" x14ac:dyDescent="0.25">
      <c r="A35" s="20"/>
      <c r="B35" s="20"/>
      <c r="C35" s="20"/>
      <c r="D35" s="20"/>
      <c r="E35" s="20"/>
      <c r="F35" s="20"/>
      <c r="G35" s="20"/>
      <c r="H35" s="20"/>
      <c r="I35" s="20"/>
      <c r="J35" s="20"/>
      <c r="K35" s="20"/>
      <c r="L35" s="20"/>
      <c r="M35" s="20"/>
      <c r="N35" s="20"/>
      <c r="O35" s="20"/>
      <c r="P35" s="20"/>
      <c r="Q35" s="20"/>
      <c r="R35" s="20"/>
      <c r="S35" s="20"/>
      <c r="T35" s="20"/>
    </row>
    <row r="36" spans="1:20" x14ac:dyDescent="0.25">
      <c r="A36" s="20"/>
      <c r="B36" s="20"/>
      <c r="C36" s="20"/>
      <c r="D36" s="20"/>
      <c r="E36" s="20"/>
      <c r="F36" s="20"/>
      <c r="G36" s="20"/>
      <c r="H36" s="20"/>
      <c r="I36" s="20"/>
      <c r="J36" s="20"/>
      <c r="K36" s="20"/>
      <c r="L36" s="20"/>
      <c r="M36" s="20"/>
      <c r="N36" s="20"/>
      <c r="O36" s="20"/>
      <c r="P36" s="20"/>
      <c r="Q36" s="20"/>
      <c r="R36" s="20"/>
      <c r="S36" s="20"/>
      <c r="T36" s="20"/>
    </row>
    <row r="37" spans="1:20" x14ac:dyDescent="0.25">
      <c r="A37" s="20"/>
      <c r="B37" s="20"/>
      <c r="C37" s="20"/>
      <c r="D37" s="20"/>
      <c r="E37" s="20"/>
      <c r="F37" s="20"/>
      <c r="G37" s="20"/>
      <c r="H37" s="20"/>
      <c r="I37" s="20"/>
      <c r="J37" s="20"/>
      <c r="K37" s="20"/>
      <c r="L37" s="20"/>
      <c r="M37" s="20"/>
      <c r="N37" s="20"/>
      <c r="O37" s="20"/>
      <c r="P37" s="20"/>
      <c r="Q37" s="20"/>
      <c r="R37" s="20"/>
      <c r="S37" s="20"/>
      <c r="T37" s="20"/>
    </row>
    <row r="38" spans="1:20" x14ac:dyDescent="0.25">
      <c r="A38" s="20"/>
      <c r="B38" s="20"/>
      <c r="C38" s="20"/>
      <c r="D38" s="20"/>
      <c r="E38" s="20"/>
      <c r="F38" s="20"/>
      <c r="G38" s="20"/>
      <c r="H38" s="20"/>
      <c r="I38" s="20"/>
      <c r="J38" s="20"/>
      <c r="K38" s="20"/>
      <c r="L38" s="20"/>
      <c r="M38" s="20"/>
      <c r="N38" s="20"/>
      <c r="O38" s="20"/>
      <c r="P38" s="20"/>
      <c r="Q38" s="20"/>
      <c r="R38" s="20"/>
      <c r="S38" s="20"/>
      <c r="T38" s="20"/>
    </row>
    <row r="39" spans="1:20" x14ac:dyDescent="0.25">
      <c r="A39" s="20"/>
      <c r="B39" s="20"/>
      <c r="C39" s="20"/>
      <c r="D39" s="20"/>
      <c r="E39" s="20"/>
      <c r="F39" s="20"/>
      <c r="G39" s="20"/>
      <c r="H39" s="20"/>
      <c r="I39" s="20"/>
      <c r="J39" s="20"/>
      <c r="K39" s="20"/>
      <c r="L39" s="20"/>
      <c r="M39" s="20"/>
      <c r="N39" s="20"/>
      <c r="O39" s="20"/>
      <c r="P39" s="20"/>
      <c r="Q39" s="20"/>
      <c r="R39" s="20"/>
      <c r="S39" s="20"/>
      <c r="T39" s="20"/>
    </row>
    <row r="40" spans="1:20" x14ac:dyDescent="0.25">
      <c r="A40" s="20"/>
      <c r="B40" s="20"/>
      <c r="C40" s="20"/>
      <c r="D40" s="20"/>
      <c r="E40" s="20"/>
      <c r="F40" s="20"/>
      <c r="G40" s="20"/>
      <c r="H40" s="20"/>
      <c r="I40" s="20"/>
      <c r="J40" s="20"/>
      <c r="K40" s="20"/>
      <c r="L40" s="20"/>
      <c r="M40" s="20"/>
      <c r="N40" s="20"/>
      <c r="O40" s="20"/>
      <c r="P40" s="20"/>
      <c r="Q40" s="20"/>
      <c r="R40" s="20"/>
      <c r="S40" s="20"/>
      <c r="T40" s="20"/>
    </row>
  </sheetData>
  <conditionalFormatting sqref="N18:R34">
    <cfRule type="dataBar" priority="2">
      <dataBar>
        <cfvo type="num" val="0"/>
        <cfvo type="formula" val="MAX($N$18:$R$34)*2"/>
        <color theme="1" tint="0.14999847407452621"/>
      </dataBar>
      <extLst>
        <ext xmlns:x14="http://schemas.microsoft.com/office/spreadsheetml/2009/9/main" uri="{B025F937-C7B1-47D3-B67F-A62EFF666E3E}">
          <x14:id>{C9CB127A-389C-4333-97E2-EBDA36F76CE8}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E299E7B-6EDF-483A-81D4-7E7665F4F3E4}">
            <xm:f>N$16=Pivot!$A$44</xm:f>
            <x14:dxf>
              <fill>
                <patternFill>
                  <bgColor theme="8" tint="0.39994506668294322"/>
                </patternFill>
              </fill>
              <border>
                <left style="thin">
                  <color rgb="FF4B4B4B"/>
                </left>
                <right style="thin">
                  <color rgb="FF4B4B4B"/>
                </right>
                <vertical/>
                <horizontal/>
              </border>
            </x14:dxf>
          </x14:cfRule>
          <xm:sqref>N16:R34</xm:sqref>
        </x14:conditionalFormatting>
        <x14:conditionalFormatting xmlns:xm="http://schemas.microsoft.com/office/excel/2006/main">
          <x14:cfRule type="dataBar" id="{C9CB127A-389C-4333-97E2-EBDA36F76CE8}">
            <x14:dataBar minLength="0" maxLength="100" gradient="0">
              <x14:cfvo type="num">
                <xm:f>0</xm:f>
              </x14:cfvo>
              <x14:cfvo type="formula">
                <xm:f>MAX($N$18:$R$34)*2</xm:f>
              </x14:cfvo>
              <x14:negativeFillColor rgb="FFFF0000"/>
              <x14:axisColor rgb="FF000000"/>
            </x14:dataBar>
          </x14:cfRule>
          <xm:sqref>N18:R34</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B1" zoomScale="115" zoomScaleNormal="115" workbookViewId="0">
      <selection activeCell="I2" sqref="I2"/>
    </sheetView>
  </sheetViews>
  <sheetFormatPr defaultRowHeight="15" x14ac:dyDescent="0.25"/>
  <cols>
    <col min="5" max="5" width="10.875" customWidth="1"/>
    <col min="6" max="6" width="12.8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sakshi bhongade</cp:lastModifiedBy>
  <dcterms:created xsi:type="dcterms:W3CDTF">2021-03-14T20:21:32Z</dcterms:created>
  <dcterms:modified xsi:type="dcterms:W3CDTF">2025-03-20T14:47:46Z</dcterms:modified>
</cp:coreProperties>
</file>